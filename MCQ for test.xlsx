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iyush\Desktop\Amazing Tools\Earlier\For Creating Multiple Quiz-csv\"/>
    </mc:Choice>
  </mc:AlternateContent>
  <bookViews>
    <workbookView xWindow="0" yWindow="0" windowWidth="16845" windowHeight="9060"/>
  </bookViews>
  <sheets>
    <sheet name="MCQ for test" sheetId="1" r:id="rId1"/>
  </sheets>
  <calcPr calcId="162913"/>
</workbook>
</file>

<file path=xl/calcChain.xml><?xml version="1.0" encoding="utf-8"?>
<calcChain xmlns="http://schemas.openxmlformats.org/spreadsheetml/2006/main">
  <c r="E284" i="1" l="1"/>
  <c r="E273" i="1"/>
  <c r="F273" i="1"/>
  <c r="G273" i="1"/>
  <c r="H273" i="1"/>
  <c r="I273" i="1"/>
  <c r="E274" i="1"/>
  <c r="F274" i="1"/>
  <c r="G274" i="1"/>
  <c r="H274" i="1"/>
  <c r="I274" i="1"/>
  <c r="E275" i="1"/>
  <c r="F275" i="1"/>
  <c r="G275" i="1"/>
  <c r="H275" i="1"/>
  <c r="I275" i="1"/>
  <c r="E276" i="1"/>
  <c r="F276" i="1"/>
  <c r="G276" i="1"/>
  <c r="H276" i="1"/>
  <c r="I276" i="1"/>
  <c r="E277" i="1"/>
  <c r="F277" i="1"/>
  <c r="G277" i="1"/>
  <c r="H277" i="1"/>
  <c r="I277" i="1"/>
  <c r="E278" i="1"/>
  <c r="F278" i="1"/>
  <c r="G278" i="1"/>
  <c r="H278" i="1"/>
  <c r="I278" i="1"/>
  <c r="E279" i="1"/>
  <c r="F279" i="1"/>
  <c r="G279" i="1"/>
  <c r="H279" i="1"/>
  <c r="I279" i="1"/>
  <c r="E280" i="1"/>
  <c r="F280" i="1"/>
  <c r="G280" i="1"/>
  <c r="H280" i="1"/>
  <c r="I280" i="1"/>
  <c r="E281" i="1"/>
  <c r="F281" i="1"/>
  <c r="G281" i="1"/>
  <c r="H281" i="1"/>
  <c r="I281" i="1"/>
  <c r="E282" i="1"/>
  <c r="F282" i="1"/>
  <c r="G282" i="1"/>
  <c r="H282" i="1"/>
  <c r="I282" i="1"/>
  <c r="E283" i="1"/>
  <c r="F283" i="1"/>
  <c r="G283" i="1"/>
  <c r="H283" i="1"/>
  <c r="I283" i="1"/>
  <c r="F284" i="1"/>
  <c r="G284" i="1"/>
  <c r="H284" i="1"/>
  <c r="I284" i="1"/>
  <c r="E285" i="1"/>
  <c r="F285" i="1"/>
  <c r="G285" i="1"/>
  <c r="H285" i="1"/>
  <c r="I285" i="1"/>
  <c r="E286" i="1"/>
  <c r="F286" i="1"/>
  <c r="G286" i="1"/>
  <c r="H286" i="1"/>
  <c r="I286" i="1"/>
  <c r="E287" i="1"/>
  <c r="F287" i="1"/>
  <c r="G287" i="1"/>
  <c r="H287" i="1"/>
  <c r="I287" i="1"/>
  <c r="E288" i="1"/>
  <c r="F288" i="1"/>
  <c r="G288" i="1"/>
  <c r="H288" i="1"/>
  <c r="I288" i="1"/>
  <c r="E289" i="1"/>
  <c r="F289" i="1"/>
  <c r="G289" i="1"/>
  <c r="H289" i="1"/>
  <c r="I289" i="1"/>
  <c r="E290" i="1"/>
  <c r="F290" i="1"/>
  <c r="G290" i="1"/>
  <c r="H290" i="1"/>
  <c r="I290" i="1"/>
  <c r="E291" i="1"/>
  <c r="F291" i="1"/>
  <c r="G291" i="1"/>
  <c r="H291" i="1"/>
  <c r="I291" i="1"/>
  <c r="E292" i="1"/>
  <c r="F292" i="1"/>
  <c r="G292" i="1"/>
  <c r="H292" i="1"/>
  <c r="I292" i="1"/>
  <c r="E293" i="1"/>
  <c r="F293" i="1"/>
  <c r="G293" i="1"/>
  <c r="H293" i="1"/>
  <c r="I293" i="1"/>
  <c r="E252" i="1"/>
  <c r="F252" i="1"/>
  <c r="G252" i="1"/>
  <c r="H252" i="1"/>
  <c r="I252" i="1"/>
  <c r="E253" i="1"/>
  <c r="F253" i="1"/>
  <c r="G253" i="1"/>
  <c r="H253" i="1"/>
  <c r="I253" i="1"/>
  <c r="E254" i="1"/>
  <c r="F254" i="1"/>
  <c r="G254" i="1"/>
  <c r="H254" i="1"/>
  <c r="I254" i="1"/>
  <c r="E255" i="1"/>
  <c r="F255" i="1"/>
  <c r="G255" i="1"/>
  <c r="H255" i="1"/>
  <c r="I255" i="1"/>
  <c r="E256" i="1"/>
  <c r="F256" i="1"/>
  <c r="G256" i="1"/>
  <c r="H256" i="1"/>
  <c r="I256" i="1"/>
  <c r="E257" i="1"/>
  <c r="F257" i="1"/>
  <c r="G257" i="1"/>
  <c r="H257" i="1"/>
  <c r="I257" i="1"/>
  <c r="E258" i="1"/>
  <c r="F258" i="1"/>
  <c r="G258" i="1"/>
  <c r="H258" i="1"/>
  <c r="I258" i="1"/>
  <c r="E259" i="1"/>
  <c r="F259" i="1"/>
  <c r="G259" i="1"/>
  <c r="H259" i="1"/>
  <c r="I259" i="1"/>
  <c r="E260" i="1"/>
  <c r="F260" i="1"/>
  <c r="G260" i="1"/>
  <c r="H260" i="1"/>
  <c r="I260" i="1"/>
  <c r="E261" i="1"/>
  <c r="F261" i="1"/>
  <c r="G261" i="1"/>
  <c r="H261" i="1"/>
  <c r="I261" i="1"/>
  <c r="E262" i="1"/>
  <c r="F262" i="1"/>
  <c r="G262" i="1"/>
  <c r="H262" i="1"/>
  <c r="I262" i="1"/>
  <c r="E263" i="1"/>
  <c r="F263" i="1"/>
  <c r="G263" i="1"/>
  <c r="H263" i="1"/>
  <c r="I263" i="1"/>
  <c r="E264" i="1"/>
  <c r="F264" i="1"/>
  <c r="G264" i="1"/>
  <c r="H264" i="1"/>
  <c r="I264" i="1"/>
  <c r="E265" i="1"/>
  <c r="F265" i="1"/>
  <c r="G265" i="1"/>
  <c r="H265" i="1"/>
  <c r="I265" i="1"/>
  <c r="E266" i="1"/>
  <c r="F266" i="1"/>
  <c r="G266" i="1"/>
  <c r="H266" i="1"/>
  <c r="I266" i="1"/>
  <c r="E267" i="1"/>
  <c r="F267" i="1"/>
  <c r="G267" i="1"/>
  <c r="H267" i="1"/>
  <c r="I267" i="1"/>
  <c r="E268" i="1"/>
  <c r="F268" i="1"/>
  <c r="G268" i="1"/>
  <c r="H268" i="1"/>
  <c r="I268" i="1"/>
  <c r="E269" i="1"/>
  <c r="F269" i="1"/>
  <c r="G269" i="1"/>
  <c r="H269" i="1"/>
  <c r="I269" i="1"/>
  <c r="E270" i="1"/>
  <c r="F270" i="1"/>
  <c r="G270" i="1"/>
  <c r="H270" i="1"/>
  <c r="I270" i="1"/>
  <c r="E271" i="1"/>
  <c r="F271" i="1"/>
  <c r="G271" i="1"/>
  <c r="H271" i="1"/>
  <c r="I271" i="1"/>
  <c r="E272" i="1"/>
  <c r="F272" i="1"/>
  <c r="G272" i="1"/>
  <c r="H272" i="1"/>
  <c r="I272" i="1"/>
  <c r="E231" i="1"/>
  <c r="F231" i="1"/>
  <c r="G231" i="1"/>
  <c r="H231" i="1"/>
  <c r="I231" i="1"/>
  <c r="E232" i="1"/>
  <c r="F232" i="1"/>
  <c r="G232" i="1"/>
  <c r="H232" i="1"/>
  <c r="I232" i="1"/>
  <c r="E233" i="1"/>
  <c r="F233" i="1"/>
  <c r="G233" i="1"/>
  <c r="H233" i="1"/>
  <c r="I233" i="1"/>
  <c r="E234" i="1"/>
  <c r="F234" i="1"/>
  <c r="G234" i="1"/>
  <c r="H234" i="1"/>
  <c r="I234" i="1"/>
  <c r="E235" i="1"/>
  <c r="F235" i="1"/>
  <c r="G235" i="1"/>
  <c r="H235" i="1"/>
  <c r="I235" i="1"/>
  <c r="E236" i="1"/>
  <c r="F236" i="1"/>
  <c r="G236" i="1"/>
  <c r="H236" i="1"/>
  <c r="I236" i="1"/>
  <c r="E237" i="1"/>
  <c r="F237" i="1"/>
  <c r="G237" i="1"/>
  <c r="H237" i="1"/>
  <c r="I237" i="1"/>
  <c r="E238" i="1"/>
  <c r="F238" i="1"/>
  <c r="G238" i="1"/>
  <c r="H238" i="1"/>
  <c r="I238" i="1"/>
  <c r="E239" i="1"/>
  <c r="F239" i="1"/>
  <c r="G239" i="1"/>
  <c r="H239" i="1"/>
  <c r="I239" i="1"/>
  <c r="E240" i="1"/>
  <c r="F240" i="1"/>
  <c r="G240" i="1"/>
  <c r="H240" i="1"/>
  <c r="I240" i="1"/>
  <c r="E241" i="1"/>
  <c r="F241" i="1"/>
  <c r="G241" i="1"/>
  <c r="H241" i="1"/>
  <c r="I241" i="1"/>
  <c r="E242" i="1"/>
  <c r="F242" i="1"/>
  <c r="G242" i="1"/>
  <c r="H242" i="1"/>
  <c r="I242" i="1"/>
  <c r="E243" i="1"/>
  <c r="F243" i="1"/>
  <c r="G243" i="1"/>
  <c r="H243" i="1"/>
  <c r="I243" i="1"/>
  <c r="E244" i="1"/>
  <c r="F244" i="1"/>
  <c r="G244" i="1"/>
  <c r="H244" i="1"/>
  <c r="I244" i="1"/>
  <c r="E245" i="1"/>
  <c r="F245" i="1"/>
  <c r="G245" i="1"/>
  <c r="H245" i="1"/>
  <c r="I245" i="1"/>
  <c r="E246" i="1"/>
  <c r="F246" i="1"/>
  <c r="G246" i="1"/>
  <c r="H246" i="1"/>
  <c r="I246" i="1"/>
  <c r="E247" i="1"/>
  <c r="F247" i="1"/>
  <c r="G247" i="1"/>
  <c r="H247" i="1"/>
  <c r="I247" i="1"/>
  <c r="E248" i="1"/>
  <c r="F248" i="1"/>
  <c r="G248" i="1"/>
  <c r="H248" i="1"/>
  <c r="I248" i="1"/>
  <c r="E249" i="1"/>
  <c r="F249" i="1"/>
  <c r="G249" i="1"/>
  <c r="H249" i="1"/>
  <c r="I249" i="1"/>
  <c r="E250" i="1"/>
  <c r="F250" i="1"/>
  <c r="G250" i="1"/>
  <c r="H250" i="1"/>
  <c r="I250" i="1"/>
  <c r="E251" i="1"/>
  <c r="F251" i="1"/>
  <c r="G251" i="1"/>
  <c r="H251" i="1"/>
  <c r="I251" i="1"/>
  <c r="E210" i="1"/>
  <c r="F210" i="1"/>
  <c r="G210" i="1"/>
  <c r="H210" i="1"/>
  <c r="I210" i="1"/>
  <c r="E211" i="1"/>
  <c r="F211" i="1"/>
  <c r="G211" i="1"/>
  <c r="H211" i="1"/>
  <c r="I211" i="1"/>
  <c r="E212" i="1"/>
  <c r="F212" i="1"/>
  <c r="G212" i="1"/>
  <c r="H212" i="1"/>
  <c r="I212" i="1"/>
  <c r="E213" i="1"/>
  <c r="F213" i="1"/>
  <c r="G213" i="1"/>
  <c r="H213" i="1"/>
  <c r="I213" i="1"/>
  <c r="E214" i="1"/>
  <c r="F214" i="1"/>
  <c r="G214" i="1"/>
  <c r="H214" i="1"/>
  <c r="I214" i="1"/>
  <c r="E215" i="1"/>
  <c r="F215" i="1"/>
  <c r="G215" i="1"/>
  <c r="H215" i="1"/>
  <c r="I215" i="1"/>
  <c r="E216" i="1"/>
  <c r="F216" i="1"/>
  <c r="G216" i="1"/>
  <c r="H216" i="1"/>
  <c r="I216" i="1"/>
  <c r="E217" i="1"/>
  <c r="F217" i="1"/>
  <c r="G217" i="1"/>
  <c r="H217" i="1"/>
  <c r="I217" i="1"/>
  <c r="E218" i="1"/>
  <c r="F218" i="1"/>
  <c r="G218" i="1"/>
  <c r="H218" i="1"/>
  <c r="I218" i="1"/>
  <c r="E219" i="1"/>
  <c r="F219" i="1"/>
  <c r="G219" i="1"/>
  <c r="H219" i="1"/>
  <c r="I219" i="1"/>
  <c r="E220" i="1"/>
  <c r="F220" i="1"/>
  <c r="G220" i="1"/>
  <c r="H220" i="1"/>
  <c r="I220" i="1"/>
  <c r="E221" i="1"/>
  <c r="F221" i="1"/>
  <c r="G221" i="1"/>
  <c r="H221" i="1"/>
  <c r="I221" i="1"/>
  <c r="E222" i="1"/>
  <c r="F222" i="1"/>
  <c r="G222" i="1"/>
  <c r="H222" i="1"/>
  <c r="I222" i="1"/>
  <c r="E223" i="1"/>
  <c r="F223" i="1"/>
  <c r="G223" i="1"/>
  <c r="H223" i="1"/>
  <c r="I223" i="1"/>
  <c r="E224" i="1"/>
  <c r="F224" i="1"/>
  <c r="G224" i="1"/>
  <c r="H224" i="1"/>
  <c r="I224" i="1"/>
  <c r="E225" i="1"/>
  <c r="F225" i="1"/>
  <c r="G225" i="1"/>
  <c r="H225" i="1"/>
  <c r="I225" i="1"/>
  <c r="E226" i="1"/>
  <c r="F226" i="1"/>
  <c r="G226" i="1"/>
  <c r="H226" i="1"/>
  <c r="I226" i="1"/>
  <c r="E227" i="1"/>
  <c r="F227" i="1"/>
  <c r="G227" i="1"/>
  <c r="H227" i="1"/>
  <c r="I227" i="1"/>
  <c r="E228" i="1"/>
  <c r="F228" i="1"/>
  <c r="G228" i="1"/>
  <c r="H228" i="1"/>
  <c r="I228" i="1"/>
  <c r="E229" i="1"/>
  <c r="F229" i="1"/>
  <c r="G229" i="1"/>
  <c r="H229" i="1"/>
  <c r="I229" i="1"/>
  <c r="E230" i="1"/>
  <c r="F230" i="1"/>
  <c r="G230" i="1"/>
  <c r="H230" i="1"/>
  <c r="I230" i="1"/>
  <c r="E189" i="1"/>
  <c r="F189" i="1"/>
  <c r="G189" i="1"/>
  <c r="H189" i="1"/>
  <c r="I189" i="1"/>
  <c r="E190" i="1"/>
  <c r="F190" i="1"/>
  <c r="G190" i="1"/>
  <c r="H190" i="1"/>
  <c r="I190" i="1"/>
  <c r="E191" i="1"/>
  <c r="F191" i="1"/>
  <c r="G191" i="1"/>
  <c r="H191" i="1"/>
  <c r="I191" i="1"/>
  <c r="E192" i="1"/>
  <c r="F192" i="1"/>
  <c r="G192" i="1"/>
  <c r="H192" i="1"/>
  <c r="I192" i="1"/>
  <c r="E193" i="1"/>
  <c r="F193" i="1"/>
  <c r="G193" i="1"/>
  <c r="H193" i="1"/>
  <c r="I193" i="1"/>
  <c r="E194" i="1"/>
  <c r="F194" i="1"/>
  <c r="G194" i="1"/>
  <c r="H194" i="1"/>
  <c r="I194" i="1"/>
  <c r="E195" i="1"/>
  <c r="F195" i="1"/>
  <c r="G195" i="1"/>
  <c r="H195" i="1"/>
  <c r="I195" i="1"/>
  <c r="E196" i="1"/>
  <c r="F196" i="1"/>
  <c r="G196" i="1"/>
  <c r="H196" i="1"/>
  <c r="I196" i="1"/>
  <c r="E197" i="1"/>
  <c r="F197" i="1"/>
  <c r="G197" i="1"/>
  <c r="H197" i="1"/>
  <c r="I197" i="1"/>
  <c r="E198" i="1"/>
  <c r="F198" i="1"/>
  <c r="G198" i="1"/>
  <c r="H198" i="1"/>
  <c r="I198" i="1"/>
  <c r="E199" i="1"/>
  <c r="F199" i="1"/>
  <c r="G199" i="1"/>
  <c r="H199" i="1"/>
  <c r="I199" i="1"/>
  <c r="E200" i="1"/>
  <c r="F200" i="1"/>
  <c r="G200" i="1"/>
  <c r="H200" i="1"/>
  <c r="I200" i="1"/>
  <c r="E201" i="1"/>
  <c r="F201" i="1"/>
  <c r="G201" i="1"/>
  <c r="H201" i="1"/>
  <c r="I201" i="1"/>
  <c r="E202" i="1"/>
  <c r="F202" i="1"/>
  <c r="G202" i="1"/>
  <c r="H202" i="1"/>
  <c r="I202" i="1"/>
  <c r="E203" i="1"/>
  <c r="F203" i="1"/>
  <c r="G203" i="1"/>
  <c r="H203" i="1"/>
  <c r="I203" i="1"/>
  <c r="E204" i="1"/>
  <c r="F204" i="1"/>
  <c r="G204" i="1"/>
  <c r="H204" i="1"/>
  <c r="I204" i="1"/>
  <c r="E205" i="1"/>
  <c r="F205" i="1"/>
  <c r="G205" i="1"/>
  <c r="H205" i="1"/>
  <c r="I205" i="1"/>
  <c r="E206" i="1"/>
  <c r="F206" i="1"/>
  <c r="G206" i="1"/>
  <c r="H206" i="1"/>
  <c r="I206" i="1"/>
  <c r="E207" i="1"/>
  <c r="F207" i="1"/>
  <c r="G207" i="1"/>
  <c r="H207" i="1"/>
  <c r="I207" i="1"/>
  <c r="E208" i="1"/>
  <c r="F208" i="1"/>
  <c r="G208" i="1"/>
  <c r="H208" i="1"/>
  <c r="I208" i="1"/>
  <c r="E209" i="1"/>
  <c r="F209" i="1"/>
  <c r="G209" i="1"/>
  <c r="H209" i="1"/>
  <c r="I209" i="1"/>
  <c r="E168" i="1"/>
  <c r="F168" i="1"/>
  <c r="G168" i="1"/>
  <c r="H168" i="1"/>
  <c r="I168" i="1"/>
  <c r="E169" i="1"/>
  <c r="F169" i="1"/>
  <c r="G169" i="1"/>
  <c r="H169" i="1"/>
  <c r="I169" i="1"/>
  <c r="E170" i="1"/>
  <c r="F170" i="1"/>
  <c r="G170" i="1"/>
  <c r="H170" i="1"/>
  <c r="I170" i="1"/>
  <c r="E171" i="1"/>
  <c r="F171" i="1"/>
  <c r="G171" i="1"/>
  <c r="H171" i="1"/>
  <c r="I171" i="1"/>
  <c r="E172" i="1"/>
  <c r="F172" i="1"/>
  <c r="G172" i="1"/>
  <c r="H172" i="1"/>
  <c r="I172" i="1"/>
  <c r="E173" i="1"/>
  <c r="F173" i="1"/>
  <c r="G173" i="1"/>
  <c r="H173" i="1"/>
  <c r="I173" i="1"/>
  <c r="E174" i="1"/>
  <c r="F174" i="1"/>
  <c r="G174" i="1"/>
  <c r="H174" i="1"/>
  <c r="I174" i="1"/>
  <c r="E175" i="1"/>
  <c r="F175" i="1"/>
  <c r="G175" i="1"/>
  <c r="H175" i="1"/>
  <c r="I175" i="1"/>
  <c r="E176" i="1"/>
  <c r="F176" i="1"/>
  <c r="G176" i="1"/>
  <c r="H176" i="1"/>
  <c r="I176" i="1"/>
  <c r="E177" i="1"/>
  <c r="F177" i="1"/>
  <c r="G177" i="1"/>
  <c r="H177" i="1"/>
  <c r="I177" i="1"/>
  <c r="E178" i="1"/>
  <c r="F178" i="1"/>
  <c r="G178" i="1"/>
  <c r="H178" i="1"/>
  <c r="I178" i="1"/>
  <c r="E179" i="1"/>
  <c r="F179" i="1"/>
  <c r="G179" i="1"/>
  <c r="H179" i="1"/>
  <c r="I179" i="1"/>
  <c r="E180" i="1"/>
  <c r="F180" i="1"/>
  <c r="G180" i="1"/>
  <c r="H180" i="1"/>
  <c r="I180" i="1"/>
  <c r="E181" i="1"/>
  <c r="F181" i="1"/>
  <c r="G181" i="1"/>
  <c r="H181" i="1"/>
  <c r="I181" i="1"/>
  <c r="E182" i="1"/>
  <c r="F182" i="1"/>
  <c r="G182" i="1"/>
  <c r="H182" i="1"/>
  <c r="I182" i="1"/>
  <c r="E183" i="1"/>
  <c r="F183" i="1"/>
  <c r="G183" i="1"/>
  <c r="H183" i="1"/>
  <c r="I183" i="1"/>
  <c r="E184" i="1"/>
  <c r="F184" i="1"/>
  <c r="G184" i="1"/>
  <c r="H184" i="1"/>
  <c r="I184" i="1"/>
  <c r="E185" i="1"/>
  <c r="F185" i="1"/>
  <c r="G185" i="1"/>
  <c r="H185" i="1"/>
  <c r="I185" i="1"/>
  <c r="E186" i="1"/>
  <c r="F186" i="1"/>
  <c r="G186" i="1"/>
  <c r="H186" i="1"/>
  <c r="I186" i="1"/>
  <c r="E187" i="1"/>
  <c r="F187" i="1"/>
  <c r="G187" i="1"/>
  <c r="H187" i="1"/>
  <c r="I187" i="1"/>
  <c r="E188" i="1"/>
  <c r="F188" i="1"/>
  <c r="G188" i="1"/>
  <c r="H188" i="1"/>
  <c r="I188" i="1"/>
  <c r="E147" i="1" l="1"/>
  <c r="F147" i="1"/>
  <c r="G147" i="1"/>
  <c r="H147" i="1"/>
  <c r="I147" i="1"/>
  <c r="E148" i="1"/>
  <c r="F148" i="1"/>
  <c r="G148" i="1"/>
  <c r="H148" i="1"/>
  <c r="I148" i="1"/>
  <c r="E149" i="1"/>
  <c r="F149" i="1"/>
  <c r="G149" i="1"/>
  <c r="H149" i="1"/>
  <c r="I149" i="1"/>
  <c r="E150" i="1"/>
  <c r="F150" i="1"/>
  <c r="G150" i="1"/>
  <c r="H150" i="1"/>
  <c r="I150" i="1"/>
  <c r="E151" i="1"/>
  <c r="F151" i="1"/>
  <c r="G151" i="1"/>
  <c r="H151" i="1"/>
  <c r="I151" i="1"/>
  <c r="E152" i="1"/>
  <c r="F152" i="1"/>
  <c r="G152" i="1"/>
  <c r="H152" i="1"/>
  <c r="I152" i="1"/>
  <c r="E153" i="1"/>
  <c r="F153" i="1"/>
  <c r="G153" i="1"/>
  <c r="H153" i="1"/>
  <c r="I153" i="1"/>
  <c r="E154" i="1"/>
  <c r="F154" i="1"/>
  <c r="G154" i="1"/>
  <c r="H154" i="1"/>
  <c r="I154" i="1"/>
  <c r="E155" i="1"/>
  <c r="F155" i="1"/>
  <c r="G155" i="1"/>
  <c r="H155" i="1"/>
  <c r="I155" i="1"/>
  <c r="E156" i="1"/>
  <c r="F156" i="1"/>
  <c r="G156" i="1"/>
  <c r="H156" i="1"/>
  <c r="I156" i="1"/>
  <c r="E157" i="1"/>
  <c r="F157" i="1"/>
  <c r="G157" i="1"/>
  <c r="H157" i="1"/>
  <c r="I157" i="1"/>
  <c r="E158" i="1"/>
  <c r="F158" i="1"/>
  <c r="G158" i="1"/>
  <c r="H158" i="1"/>
  <c r="I158" i="1"/>
  <c r="E159" i="1"/>
  <c r="F159" i="1"/>
  <c r="G159" i="1"/>
  <c r="H159" i="1"/>
  <c r="I159" i="1"/>
  <c r="E160" i="1"/>
  <c r="F160" i="1"/>
  <c r="G160" i="1"/>
  <c r="H160" i="1"/>
  <c r="I160" i="1"/>
  <c r="E161" i="1"/>
  <c r="F161" i="1"/>
  <c r="G161" i="1"/>
  <c r="H161" i="1"/>
  <c r="I161" i="1"/>
  <c r="E162" i="1"/>
  <c r="F162" i="1"/>
  <c r="G162" i="1"/>
  <c r="H162" i="1"/>
  <c r="I162" i="1"/>
  <c r="E163" i="1"/>
  <c r="F163" i="1"/>
  <c r="G163" i="1"/>
  <c r="H163" i="1"/>
  <c r="I163" i="1"/>
  <c r="E164" i="1"/>
  <c r="F164" i="1"/>
  <c r="G164" i="1"/>
  <c r="H164" i="1"/>
  <c r="I164" i="1"/>
  <c r="E165" i="1"/>
  <c r="F165" i="1"/>
  <c r="G165" i="1"/>
  <c r="H165" i="1"/>
  <c r="I165" i="1"/>
  <c r="E166" i="1"/>
  <c r="F166" i="1"/>
  <c r="G166" i="1"/>
  <c r="H166" i="1"/>
  <c r="I166" i="1"/>
  <c r="E167" i="1"/>
  <c r="F167" i="1"/>
  <c r="G167" i="1"/>
  <c r="H167" i="1"/>
  <c r="I167" i="1"/>
  <c r="E126" i="1"/>
  <c r="F126" i="1"/>
  <c r="G126" i="1"/>
  <c r="H126" i="1"/>
  <c r="I126" i="1"/>
  <c r="E127" i="1"/>
  <c r="F127" i="1"/>
  <c r="G127" i="1"/>
  <c r="H127" i="1"/>
  <c r="I127" i="1"/>
  <c r="E128" i="1"/>
  <c r="F128" i="1"/>
  <c r="G128" i="1"/>
  <c r="H128" i="1"/>
  <c r="I128" i="1"/>
  <c r="E129" i="1"/>
  <c r="F129" i="1"/>
  <c r="G129" i="1"/>
  <c r="H129" i="1"/>
  <c r="I129" i="1"/>
  <c r="E130" i="1"/>
  <c r="F130" i="1"/>
  <c r="G130" i="1"/>
  <c r="H130" i="1"/>
  <c r="I130" i="1"/>
  <c r="E131" i="1"/>
  <c r="F131" i="1"/>
  <c r="G131" i="1"/>
  <c r="H131" i="1"/>
  <c r="I131" i="1"/>
  <c r="E132" i="1"/>
  <c r="F132" i="1"/>
  <c r="G132" i="1"/>
  <c r="H132" i="1"/>
  <c r="I132" i="1"/>
  <c r="E133" i="1"/>
  <c r="F133" i="1"/>
  <c r="G133" i="1"/>
  <c r="H133" i="1"/>
  <c r="I133" i="1"/>
  <c r="E134" i="1"/>
  <c r="F134" i="1"/>
  <c r="G134" i="1"/>
  <c r="H134" i="1"/>
  <c r="I134" i="1"/>
  <c r="E135" i="1"/>
  <c r="F135" i="1"/>
  <c r="G135" i="1"/>
  <c r="H135" i="1"/>
  <c r="I135" i="1"/>
  <c r="E136" i="1"/>
  <c r="F136" i="1"/>
  <c r="G136" i="1"/>
  <c r="H136" i="1"/>
  <c r="I136" i="1"/>
  <c r="E137" i="1"/>
  <c r="F137" i="1"/>
  <c r="G137" i="1"/>
  <c r="H137" i="1"/>
  <c r="I137" i="1"/>
  <c r="E138" i="1"/>
  <c r="F138" i="1"/>
  <c r="G138" i="1"/>
  <c r="H138" i="1"/>
  <c r="I138" i="1"/>
  <c r="E139" i="1"/>
  <c r="F139" i="1"/>
  <c r="G139" i="1"/>
  <c r="H139" i="1"/>
  <c r="I139" i="1"/>
  <c r="E140" i="1"/>
  <c r="F140" i="1"/>
  <c r="G140" i="1"/>
  <c r="H140" i="1"/>
  <c r="I140" i="1"/>
  <c r="E141" i="1"/>
  <c r="F141" i="1"/>
  <c r="G141" i="1"/>
  <c r="H141" i="1"/>
  <c r="I141" i="1"/>
  <c r="E142" i="1"/>
  <c r="F142" i="1"/>
  <c r="G142" i="1"/>
  <c r="H142" i="1"/>
  <c r="I142" i="1"/>
  <c r="E143" i="1"/>
  <c r="F143" i="1"/>
  <c r="G143" i="1"/>
  <c r="H143" i="1"/>
  <c r="I143" i="1"/>
  <c r="E144" i="1"/>
  <c r="F144" i="1"/>
  <c r="G144" i="1"/>
  <c r="H144" i="1"/>
  <c r="I144" i="1"/>
  <c r="E145" i="1"/>
  <c r="F145" i="1"/>
  <c r="G145" i="1"/>
  <c r="H145" i="1"/>
  <c r="I145" i="1"/>
  <c r="E146" i="1"/>
  <c r="F146" i="1"/>
  <c r="G146" i="1"/>
  <c r="H146" i="1"/>
  <c r="I146" i="1"/>
  <c r="E105" i="1"/>
  <c r="F105" i="1"/>
  <c r="G105" i="1"/>
  <c r="H105" i="1"/>
  <c r="I105" i="1"/>
  <c r="E106" i="1"/>
  <c r="F106" i="1"/>
  <c r="G106" i="1"/>
  <c r="H106" i="1"/>
  <c r="I106" i="1"/>
  <c r="E107" i="1"/>
  <c r="F107" i="1"/>
  <c r="G107" i="1"/>
  <c r="H107" i="1"/>
  <c r="I107" i="1"/>
  <c r="E108" i="1"/>
  <c r="F108" i="1"/>
  <c r="G108" i="1"/>
  <c r="H108" i="1"/>
  <c r="I108" i="1"/>
  <c r="E109" i="1"/>
  <c r="F109" i="1"/>
  <c r="G109" i="1"/>
  <c r="H109" i="1"/>
  <c r="I109" i="1"/>
  <c r="E110" i="1"/>
  <c r="F110" i="1"/>
  <c r="G110" i="1"/>
  <c r="H110" i="1"/>
  <c r="I110" i="1"/>
  <c r="E111" i="1"/>
  <c r="F111" i="1"/>
  <c r="G111" i="1"/>
  <c r="H111" i="1"/>
  <c r="I111" i="1"/>
  <c r="E112" i="1"/>
  <c r="F112" i="1"/>
  <c r="G112" i="1"/>
  <c r="H112" i="1"/>
  <c r="I112" i="1"/>
  <c r="E113" i="1"/>
  <c r="F113" i="1"/>
  <c r="G113" i="1"/>
  <c r="H113" i="1"/>
  <c r="I113" i="1"/>
  <c r="E114" i="1"/>
  <c r="F114" i="1"/>
  <c r="G114" i="1"/>
  <c r="H114" i="1"/>
  <c r="I114" i="1"/>
  <c r="E115" i="1"/>
  <c r="F115" i="1"/>
  <c r="G115" i="1"/>
  <c r="H115" i="1"/>
  <c r="I115" i="1"/>
  <c r="E116" i="1"/>
  <c r="F116" i="1"/>
  <c r="G116" i="1"/>
  <c r="H116" i="1"/>
  <c r="I116" i="1"/>
  <c r="E117" i="1"/>
  <c r="F117" i="1"/>
  <c r="G117" i="1"/>
  <c r="H117" i="1"/>
  <c r="I117" i="1"/>
  <c r="E118" i="1"/>
  <c r="F118" i="1"/>
  <c r="G118" i="1"/>
  <c r="H118" i="1"/>
  <c r="I118" i="1"/>
  <c r="E119" i="1"/>
  <c r="F119" i="1"/>
  <c r="G119" i="1"/>
  <c r="H119" i="1"/>
  <c r="I119" i="1"/>
  <c r="E120" i="1"/>
  <c r="F120" i="1"/>
  <c r="G120" i="1"/>
  <c r="H120" i="1"/>
  <c r="I120" i="1"/>
  <c r="E121" i="1"/>
  <c r="F121" i="1"/>
  <c r="G121" i="1"/>
  <c r="H121" i="1"/>
  <c r="I121" i="1"/>
  <c r="E122" i="1"/>
  <c r="F122" i="1"/>
  <c r="G122" i="1"/>
  <c r="H122" i="1"/>
  <c r="I122" i="1"/>
  <c r="E123" i="1"/>
  <c r="F123" i="1"/>
  <c r="G123" i="1"/>
  <c r="H123" i="1"/>
  <c r="I123" i="1"/>
  <c r="E124" i="1"/>
  <c r="F124" i="1"/>
  <c r="G124" i="1"/>
  <c r="H124" i="1"/>
  <c r="I124" i="1"/>
  <c r="E125" i="1"/>
  <c r="F125" i="1"/>
  <c r="G125" i="1"/>
  <c r="H125" i="1"/>
  <c r="I125" i="1"/>
  <c r="E84" i="1"/>
  <c r="F84" i="1"/>
  <c r="G84" i="1"/>
  <c r="H84" i="1"/>
  <c r="I84" i="1"/>
  <c r="E85" i="1"/>
  <c r="F85" i="1"/>
  <c r="G85" i="1"/>
  <c r="H85" i="1"/>
  <c r="I85" i="1"/>
  <c r="E86" i="1"/>
  <c r="F86" i="1"/>
  <c r="G86" i="1"/>
  <c r="H86" i="1"/>
  <c r="I86" i="1"/>
  <c r="E87" i="1"/>
  <c r="F87" i="1"/>
  <c r="G87" i="1"/>
  <c r="H87" i="1"/>
  <c r="I87" i="1"/>
  <c r="E88" i="1"/>
  <c r="F88" i="1"/>
  <c r="G88" i="1"/>
  <c r="H88" i="1"/>
  <c r="I88" i="1"/>
  <c r="E89" i="1"/>
  <c r="F89" i="1"/>
  <c r="G89" i="1"/>
  <c r="H89" i="1"/>
  <c r="I89" i="1"/>
  <c r="E90" i="1"/>
  <c r="F90" i="1"/>
  <c r="G90" i="1"/>
  <c r="H90" i="1"/>
  <c r="I90" i="1"/>
  <c r="E91" i="1"/>
  <c r="F91" i="1"/>
  <c r="G91" i="1"/>
  <c r="H91" i="1"/>
  <c r="I91" i="1"/>
  <c r="E92" i="1"/>
  <c r="F92" i="1"/>
  <c r="G92" i="1"/>
  <c r="H92" i="1"/>
  <c r="I92" i="1"/>
  <c r="E93" i="1"/>
  <c r="F93" i="1"/>
  <c r="G93" i="1"/>
  <c r="H93" i="1"/>
  <c r="I93" i="1"/>
  <c r="E94" i="1"/>
  <c r="F94" i="1"/>
  <c r="G94" i="1"/>
  <c r="H94" i="1"/>
  <c r="I94" i="1"/>
  <c r="E95" i="1"/>
  <c r="F95" i="1"/>
  <c r="G95" i="1"/>
  <c r="H95" i="1"/>
  <c r="I95" i="1"/>
  <c r="E96" i="1"/>
  <c r="F96" i="1"/>
  <c r="G96" i="1"/>
  <c r="H96" i="1"/>
  <c r="I96" i="1"/>
  <c r="E97" i="1"/>
  <c r="F97" i="1"/>
  <c r="G97" i="1"/>
  <c r="H97" i="1"/>
  <c r="I97" i="1"/>
  <c r="E98" i="1"/>
  <c r="F98" i="1"/>
  <c r="G98" i="1"/>
  <c r="H98" i="1"/>
  <c r="I98" i="1"/>
  <c r="E99" i="1"/>
  <c r="F99" i="1"/>
  <c r="G99" i="1"/>
  <c r="H99" i="1"/>
  <c r="I99" i="1"/>
  <c r="E100" i="1"/>
  <c r="F100" i="1"/>
  <c r="G100" i="1"/>
  <c r="H100" i="1"/>
  <c r="I100" i="1"/>
  <c r="E101" i="1"/>
  <c r="F101" i="1"/>
  <c r="G101" i="1"/>
  <c r="H101" i="1"/>
  <c r="I101" i="1"/>
  <c r="E102" i="1"/>
  <c r="F102" i="1"/>
  <c r="G102" i="1"/>
  <c r="H102" i="1"/>
  <c r="I102" i="1"/>
  <c r="E103" i="1"/>
  <c r="F103" i="1"/>
  <c r="G103" i="1"/>
  <c r="H103" i="1"/>
  <c r="I103" i="1"/>
  <c r="E104" i="1"/>
  <c r="F104" i="1"/>
  <c r="G104" i="1"/>
  <c r="H104" i="1"/>
  <c r="I104" i="1"/>
  <c r="E63" i="1"/>
  <c r="F63" i="1"/>
  <c r="G63" i="1"/>
  <c r="H63" i="1"/>
  <c r="I63" i="1"/>
  <c r="E64" i="1"/>
  <c r="F64" i="1"/>
  <c r="G64" i="1"/>
  <c r="H64" i="1"/>
  <c r="I64" i="1"/>
  <c r="E65" i="1"/>
  <c r="F65" i="1"/>
  <c r="G65" i="1"/>
  <c r="H65" i="1"/>
  <c r="I65" i="1"/>
  <c r="E66" i="1"/>
  <c r="F66" i="1"/>
  <c r="G66" i="1"/>
  <c r="H66" i="1"/>
  <c r="I66" i="1"/>
  <c r="E67" i="1"/>
  <c r="F67" i="1"/>
  <c r="G67" i="1"/>
  <c r="H67" i="1"/>
  <c r="I67" i="1"/>
  <c r="E68" i="1"/>
  <c r="F68" i="1"/>
  <c r="G68" i="1"/>
  <c r="H68" i="1"/>
  <c r="I68" i="1"/>
  <c r="E69" i="1"/>
  <c r="F69" i="1"/>
  <c r="G69" i="1"/>
  <c r="H69" i="1"/>
  <c r="I69" i="1"/>
  <c r="E70" i="1"/>
  <c r="F70" i="1"/>
  <c r="G70" i="1"/>
  <c r="H70" i="1"/>
  <c r="I70" i="1"/>
  <c r="E71" i="1"/>
  <c r="F71" i="1"/>
  <c r="G71" i="1"/>
  <c r="H71" i="1"/>
  <c r="I71" i="1"/>
  <c r="E72" i="1"/>
  <c r="F72" i="1"/>
  <c r="G72" i="1"/>
  <c r="H72" i="1"/>
  <c r="I72" i="1"/>
  <c r="E73" i="1"/>
  <c r="F73" i="1"/>
  <c r="G73" i="1"/>
  <c r="H73" i="1"/>
  <c r="I73" i="1"/>
  <c r="E74" i="1"/>
  <c r="F74" i="1"/>
  <c r="G74" i="1"/>
  <c r="H74" i="1"/>
  <c r="I74" i="1"/>
  <c r="E75" i="1"/>
  <c r="F75" i="1"/>
  <c r="G75" i="1"/>
  <c r="H75" i="1"/>
  <c r="I75" i="1"/>
  <c r="E76" i="1"/>
  <c r="F76" i="1"/>
  <c r="G76" i="1"/>
  <c r="H76" i="1"/>
  <c r="I76" i="1"/>
  <c r="E77" i="1"/>
  <c r="F77" i="1"/>
  <c r="G77" i="1"/>
  <c r="H77" i="1"/>
  <c r="I77" i="1"/>
  <c r="E78" i="1"/>
  <c r="F78" i="1"/>
  <c r="G78" i="1"/>
  <c r="H78" i="1"/>
  <c r="I78" i="1"/>
  <c r="E79" i="1"/>
  <c r="F79" i="1"/>
  <c r="G79" i="1"/>
  <c r="H79" i="1"/>
  <c r="I79" i="1"/>
  <c r="E80" i="1"/>
  <c r="F80" i="1"/>
  <c r="G80" i="1"/>
  <c r="H80" i="1"/>
  <c r="I80" i="1"/>
  <c r="E81" i="1"/>
  <c r="F81" i="1"/>
  <c r="G81" i="1"/>
  <c r="H81" i="1"/>
  <c r="I81" i="1"/>
  <c r="E82" i="1"/>
  <c r="F82" i="1"/>
  <c r="G82" i="1"/>
  <c r="H82" i="1"/>
  <c r="I82" i="1"/>
  <c r="E83" i="1"/>
  <c r="F83" i="1"/>
  <c r="G83" i="1"/>
  <c r="H83" i="1"/>
  <c r="I83" i="1"/>
  <c r="E42" i="1"/>
  <c r="F42" i="1"/>
  <c r="G42" i="1"/>
  <c r="H42" i="1"/>
  <c r="I42" i="1"/>
  <c r="E43" i="1"/>
  <c r="F43" i="1"/>
  <c r="G43" i="1"/>
  <c r="H43" i="1"/>
  <c r="I43" i="1"/>
  <c r="E44" i="1"/>
  <c r="F44" i="1"/>
  <c r="G44" i="1"/>
  <c r="H44" i="1"/>
  <c r="I44" i="1"/>
  <c r="E45" i="1"/>
  <c r="F45" i="1"/>
  <c r="G45" i="1"/>
  <c r="H45" i="1"/>
  <c r="I45" i="1"/>
  <c r="E46" i="1"/>
  <c r="F46" i="1"/>
  <c r="G46" i="1"/>
  <c r="H46" i="1"/>
  <c r="I46" i="1"/>
  <c r="E47" i="1"/>
  <c r="F47" i="1"/>
  <c r="G47" i="1"/>
  <c r="H47" i="1"/>
  <c r="I47" i="1"/>
  <c r="E48" i="1"/>
  <c r="F48" i="1"/>
  <c r="G48" i="1"/>
  <c r="H48" i="1"/>
  <c r="I48" i="1"/>
  <c r="E49" i="1"/>
  <c r="F49" i="1"/>
  <c r="G49" i="1"/>
  <c r="H49" i="1"/>
  <c r="I49" i="1"/>
  <c r="E50" i="1"/>
  <c r="F50" i="1"/>
  <c r="G50" i="1"/>
  <c r="H50" i="1"/>
  <c r="I50" i="1"/>
  <c r="E51" i="1"/>
  <c r="F51" i="1"/>
  <c r="G51" i="1"/>
  <c r="H51" i="1"/>
  <c r="I51" i="1"/>
  <c r="E52" i="1"/>
  <c r="F52" i="1"/>
  <c r="G52" i="1"/>
  <c r="H52" i="1"/>
  <c r="I52" i="1"/>
  <c r="E53" i="1"/>
  <c r="F53" i="1"/>
  <c r="G53" i="1"/>
  <c r="H53" i="1"/>
  <c r="I53" i="1"/>
  <c r="E54" i="1"/>
  <c r="F54" i="1"/>
  <c r="G54" i="1"/>
  <c r="H54" i="1"/>
  <c r="I54" i="1"/>
  <c r="E55" i="1"/>
  <c r="F55" i="1"/>
  <c r="G55" i="1"/>
  <c r="H55" i="1"/>
  <c r="I55" i="1"/>
  <c r="E56" i="1"/>
  <c r="F56" i="1"/>
  <c r="G56" i="1"/>
  <c r="H56" i="1"/>
  <c r="I56" i="1"/>
  <c r="E57" i="1"/>
  <c r="F57" i="1"/>
  <c r="G57" i="1"/>
  <c r="H57" i="1"/>
  <c r="I57" i="1"/>
  <c r="E58" i="1"/>
  <c r="F58" i="1"/>
  <c r="G58" i="1"/>
  <c r="H58" i="1"/>
  <c r="I58" i="1"/>
  <c r="E59" i="1"/>
  <c r="F59" i="1"/>
  <c r="G59" i="1"/>
  <c r="H59" i="1"/>
  <c r="I59" i="1"/>
  <c r="E60" i="1"/>
  <c r="F60" i="1"/>
  <c r="G60" i="1"/>
  <c r="H60" i="1"/>
  <c r="I60" i="1"/>
  <c r="E61" i="1"/>
  <c r="F61" i="1"/>
  <c r="G61" i="1"/>
  <c r="H61" i="1"/>
  <c r="I61" i="1"/>
  <c r="E62" i="1"/>
  <c r="F62" i="1"/>
  <c r="G62" i="1"/>
  <c r="H62" i="1"/>
  <c r="I62" i="1"/>
  <c r="E22" i="1"/>
  <c r="F22" i="1"/>
  <c r="G22" i="1"/>
  <c r="H22" i="1"/>
  <c r="I22" i="1"/>
  <c r="E23" i="1"/>
  <c r="F23" i="1"/>
  <c r="G23" i="1"/>
  <c r="H23" i="1"/>
  <c r="I23" i="1"/>
  <c r="E24" i="1"/>
  <c r="F24" i="1"/>
  <c r="G24" i="1"/>
  <c r="H24" i="1"/>
  <c r="I24" i="1"/>
  <c r="E25" i="1"/>
  <c r="F25" i="1"/>
  <c r="G25" i="1"/>
  <c r="H25" i="1"/>
  <c r="I25" i="1"/>
  <c r="E26" i="1"/>
  <c r="F26" i="1"/>
  <c r="G26" i="1"/>
  <c r="H26" i="1"/>
  <c r="I26" i="1"/>
  <c r="E27" i="1"/>
  <c r="F27" i="1"/>
  <c r="G27" i="1"/>
  <c r="H27" i="1"/>
  <c r="I27" i="1"/>
  <c r="E28" i="1"/>
  <c r="F28" i="1"/>
  <c r="G28" i="1"/>
  <c r="H28" i="1"/>
  <c r="I28" i="1"/>
  <c r="E29" i="1"/>
  <c r="F29" i="1"/>
  <c r="G29" i="1"/>
  <c r="H29" i="1"/>
  <c r="I29" i="1"/>
  <c r="E30" i="1"/>
  <c r="F30" i="1"/>
  <c r="G30" i="1"/>
  <c r="H30" i="1"/>
  <c r="I30" i="1"/>
  <c r="E31" i="1"/>
  <c r="F31" i="1"/>
  <c r="G31" i="1"/>
  <c r="H31" i="1"/>
  <c r="I31" i="1"/>
  <c r="E32" i="1"/>
  <c r="F32" i="1"/>
  <c r="G32" i="1"/>
  <c r="H32" i="1"/>
  <c r="I32" i="1"/>
  <c r="E33" i="1"/>
  <c r="F33" i="1"/>
  <c r="G33" i="1"/>
  <c r="H33" i="1"/>
  <c r="I33" i="1"/>
  <c r="E34" i="1"/>
  <c r="F34" i="1"/>
  <c r="G34" i="1"/>
  <c r="H34" i="1"/>
  <c r="I34" i="1"/>
  <c r="E35" i="1"/>
  <c r="F35" i="1"/>
  <c r="G35" i="1"/>
  <c r="H35" i="1"/>
  <c r="I35" i="1"/>
  <c r="E36" i="1"/>
  <c r="F36" i="1"/>
  <c r="G36" i="1"/>
  <c r="H36" i="1"/>
  <c r="I36" i="1"/>
  <c r="E37" i="1"/>
  <c r="F37" i="1"/>
  <c r="G37" i="1"/>
  <c r="H37" i="1"/>
  <c r="I37" i="1"/>
  <c r="E38" i="1"/>
  <c r="F38" i="1"/>
  <c r="G38" i="1"/>
  <c r="H38" i="1"/>
  <c r="I38" i="1"/>
  <c r="E39" i="1"/>
  <c r="F39" i="1"/>
  <c r="G39" i="1"/>
  <c r="H39" i="1"/>
  <c r="I39" i="1"/>
  <c r="E40" i="1"/>
  <c r="F40" i="1"/>
  <c r="G40" i="1"/>
  <c r="H40" i="1"/>
  <c r="I40" i="1"/>
  <c r="E41" i="1"/>
  <c r="F41" i="1"/>
  <c r="G41" i="1"/>
  <c r="H41" i="1"/>
  <c r="I41" i="1"/>
</calcChain>
</file>

<file path=xl/sharedStrings.xml><?xml version="1.0" encoding="utf-8"?>
<sst xmlns="http://schemas.openxmlformats.org/spreadsheetml/2006/main" count="1505" uniqueCount="638">
  <si>
    <t>Correct Answer</t>
  </si>
  <si>
    <t>Board</t>
  </si>
  <si>
    <t>Class</t>
  </si>
  <si>
    <t>Chapter</t>
  </si>
  <si>
    <t>Question</t>
  </si>
  <si>
    <t>Option1</t>
  </si>
  <si>
    <t>Option2</t>
  </si>
  <si>
    <t>Option3</t>
  </si>
  <si>
    <t>Option4</t>
  </si>
  <si>
    <t>Explanation of Correct Answer</t>
  </si>
  <si>
    <t>CBSE</t>
  </si>
  <si>
    <t>Class 10</t>
  </si>
  <si>
    <t>Real Numbers</t>
  </si>
  <si>
    <t>If two positive integers a and b are written as a = x³ y² and b = xy³, where x, y are prime numbers, then HCF(a, b) is:</t>
  </si>
  <si>
    <t>xy</t>
  </si>
  <si>
    <t>xy²</t>
  </si>
  <si>
    <t>x³ y³</t>
  </si>
  <si>
    <t>x² y²</t>
  </si>
  <si>
    <t>HCF is the product of the smallest powers of each common prime factor involved. Lowest power of x is x¹, and lowest power of y is y². Thus HCF(a, b) = xy².</t>
  </si>
  <si>
    <t>If the HCF of 65 and 117 is expressible in the form 65m - 117, then the value of m is:</t>
  </si>
  <si>
    <t>HCF(65, 117) = 13. Given 65m - 117 = 13 ⇒ 65m = 130 ⇒ m = 2.</t>
  </si>
  <si>
    <t>The largest number which divides 70 and 125, leaving remainders 5 and 8 respectively, is:</t>
  </si>
  <si>
    <t>Required number = HCF(70 - 5, 125 - 8) = HCF(65, 117) = 13.</t>
  </si>
  <si>
    <t>If n is any natural number, then 9ⁿ - 4ⁿ always ends with which of the following digits?</t>
  </si>
  <si>
    <t>1 or 6</t>
  </si>
  <si>
    <t>1 or 3</t>
  </si>
  <si>
    <t>5 or 0</t>
  </si>
  <si>
    <t>Always 5</t>
  </si>
  <si>
    <t>For any natural number n, 9ⁿ - 4ⁿ is divisible by (9 - 4) = 5. Any multiple of 5 ends with either 0 or 5.</t>
  </si>
  <si>
    <t>The LCM of the smallest two-digit composite number and the smallest composite number is:</t>
  </si>
  <si>
    <t>Smallest two-digit composite number = 10. Smallest composite number = 4. LCM(10, 4) = 20.</t>
  </si>
  <si>
    <t>If HCF(a, b) = 12 and a × b = 1800, then LCM(a, b) is:</t>
  </si>
  <si>
    <t>Using HCF(a, b) × LCM(a, b) = a × b ⇒ 12 × LCM(a, b) = 1800 ⇒ LCM(a, b) = 1800 / 12 = 150.</t>
  </si>
  <si>
    <t>If a = 2³ × 3, b = 2 × 3 × 5, c = 3ⁿ × 5 and LCM(a, b, c) = 2³ × 3² × 5, then n =</t>
  </si>
  <si>
    <t>The highest power of prime factor 3 present in the LCM is 3². Since a and b only contain 3¹, c must contribute 3², so n = 2.</t>
  </si>
  <si>
    <t>If the decimal expansion of 14587 / 1250 terminates, after how many decimal places will it terminate?</t>
  </si>
  <si>
    <t>One</t>
  </si>
  <si>
    <t>Two</t>
  </si>
  <si>
    <t>Three</t>
  </si>
  <si>
    <t>Four</t>
  </si>
  <si>
    <t>1250 = 2¹ × 5⁴. The maximum power of 2 or 5 in the prime factorisation of the denominator is 4, so it terminates after 4 decimal places.</t>
  </si>
  <si>
    <t>If p and q are co-prime numbers, then p² and q² are:</t>
  </si>
  <si>
    <t>Co-prime</t>
  </si>
  <si>
    <t>Not co-prime</t>
  </si>
  <si>
    <t>Even</t>
  </si>
  <si>
    <t>Odd</t>
  </si>
  <si>
    <t>Co-prime numbers share no prime factors. Squaring them multiplies the existing prime factors but introduces no new ones, so HCF(p², q²) remains 1.</t>
  </si>
  <si>
    <t>Four bells toll together at 9:00 AM. They toll at intervals of 7, 8, 11 and 12 seconds respectively. How many times will they toll together in the next 3 hours (excluding the toll at 9:00 AM)?</t>
  </si>
  <si>
    <t>LCM(7, 8, 11, 12) = 1848 seconds = 30.8 minutes. Total time = 3 hours = 180 minutes. Number of times = ⌊180 / 30.8⌋ = 5 times.</t>
  </si>
  <si>
    <t>The ratio of LCM and HCF of the least composite number and the least prime number is:</t>
  </si>
  <si>
    <t>Least composite number = 4. Least prime number = 2. HCF(4, 2) = 2, LCM(4, 2) = 4. Ratio LCM : HCF = 4 : 2 = 2 : 1.</t>
  </si>
  <si>
    <t>If p₁ and p₂ are distinct prime numbers, then the total number of factors of p₁² × p₂³ is:</t>
  </si>
  <si>
    <t>Total number of factors of aⁿ · bᵐ (for distinct primes a, b) is given by (n + 1)(m + 1). Here, (2 + 1)(3 + 1) = 3 × 4 = 12.</t>
  </si>
  <si>
    <t>What is the greatest number that will divide 307 and 330 leaving remainders 3 and 7 respectively?</t>
  </si>
  <si>
    <t>Required number = HCF(307 - 3, 330 - 7) = HCF(304, 323). Since 304 = 19 × 16 and 323 = 19 × 17, HCF = 19.</t>
  </si>
  <si>
    <t>If two positive integers A and B are written as A = p³ q⁴ and B = p² q³, then [LCM(A, B) / HCF(A, B)] is equal to:</t>
  </si>
  <si>
    <t>p q</t>
  </si>
  <si>
    <t>p² q²</t>
  </si>
  <si>
    <t>p q²</t>
  </si>
  <si>
    <t>p² q</t>
  </si>
  <si>
    <t>LCM(A, B) = p³ q⁴ and HCF(A, B) = p² q³. Ratio = (p³ q⁴) / (p² q³) = p q.</t>
  </si>
  <si>
    <t>If n is a positive integer, then n³ - n is always divisible by:</t>
  </si>
  <si>
    <t>n³ - n = n(n² - 1) = (n - 1)n(n + 1), which is the product of three consecutive integers. Among three consecutive integers, at least one is divisible by 2 and exactly one is divisible by 3, so the product is always divisible by 2 × 3 = 6.</t>
  </si>
  <si>
    <t>Find the sum of all two-digit natural numbers which when divided by 4 yield a remainder of 1.</t>
  </si>
  <si>
    <t>The numbers form an AP: 13, 17, 21, ..., 97. First term a = 13, common difference d = 4, last term l = 97. Number of terms n = (97 - 13)/4 + 1 = 22. Sum = (22 / 2) × (13 + 97) = 11 × 110 = 1210.</t>
  </si>
  <si>
    <t>If HCF(a, b) = 12 and a × b = 6480, how many possible pairs of positive integers (a, b) exist satisfying this condition?</t>
  </si>
  <si>
    <t>Let a = 12x and b = 12y, where HCF(x, y) = 1. Then (12x)(12y) = 6480 ⇒ 144xy = 6480 ⇒ xy = 45. Co-prime pairs (x, y) such that x × y = 45 are (1, 45) and (5, 9). Thus, exactly 2 pairs exist.</t>
  </si>
  <si>
    <t>If a positive integer n is of the form 6q + 5 for some integer q, then what form will n² have for some integer m?</t>
  </si>
  <si>
    <t>6m + 1</t>
  </si>
  <si>
    <t>6m + 3</t>
  </si>
  <si>
    <t>6m + 5</t>
  </si>
  <si>
    <t>6m + 2</t>
  </si>
  <si>
    <t>n² = (6q + 5)² = 36q² + 60q + 25 = 36q² + 60q + 24 + 1 = 6(6q² + 10q + 4) + 1 = 6m + 1.</t>
  </si>
  <si>
    <t>If a, b, c are three consecutive positive integers, then a³ + b³ + c³ - 3abc is always divisible by:</t>
  </si>
  <si>
    <t>Let b = n, a = n - 1, c = n + 1. Then a + b + c = 3n. Using identity a³ + b³ + c³ - 3abc = (a + b + c)(a² + b² + c² - ab - bc - ca). Note that a² + b² + c² - ab - bc - ca = ½[(a - b)² + (b - c)² + (c - a)²] = ½[(-1)² + (-1)² + (2)²] = ½[1 + 1 + 4] = 3. Thus the expression equals (3n)(3) = 9n, which is always divisible by 9.</t>
  </si>
  <si>
    <t>If p is a prime number and p divides a² (where a is a positive integer), then p must also divide:</t>
  </si>
  <si>
    <t>a</t>
  </si>
  <si>
    <t>a³</t>
  </si>
  <si>
    <t>√a</t>
  </si>
  <si>
    <t>a + 1</t>
  </si>
  <si>
    <t>By the fundamental theorem of arithmetic, if a prime p divides a², then p must be one of the prime factors of a, hence p divides a.</t>
  </si>
  <si>
    <t>Polynomials</t>
  </si>
  <si>
    <t>If one zero of the quadratic polynomial x² + 3x + k is 2, then the value of k is:</t>
  </si>
  <si>
    <t>Since 2 is a zero of x² + 3x + k, substituting x = 2 gives: (2)² + 3(2) + k = 0 ⇒ 4 + 6 + k = 0 ⇒ k = -10.</t>
  </si>
  <si>
    <t>A quadratic polynomial whose zeroes are -3 and 4 is:</t>
  </si>
  <si>
    <t>A quadratic polynomial with zeroes α and β is x² - (α + β)x + αβ. Here α + β = -3 + 4 = 1 and αβ = (-3)(4) = -12. So the polynomial is x² - x - 12.</t>
  </si>
  <si>
    <t>If the zeroes of the quadratic polynomial x² + (a + 1)x + b are 2 and -3, then:</t>
  </si>
  <si>
    <t>Sum of zeroes = 2 + (-3) = -1 = -(a + 1) ⇒ a + 1 = 1 ⇒ a = 0. Product of zeroes = (2)(-3) = -6 = b ⇒ b = -6.</t>
  </si>
  <si>
    <t>The maximum number of zeroes a cubic polynomial can have is:</t>
  </si>
  <si>
    <t>The degree of a cubic polynomial is 3. By the fundamental theorem of algebra, a polynomial of degree n has at most n real zeroes.</t>
  </si>
  <si>
    <t>If one zero of the quadratic polynomial f(x) = (k² + 4)x² + 13x + 4k is reciprocal of the other, then the value of k is:</t>
  </si>
  <si>
    <t>Let the zeroes be α and 1/α. Product of zeroes = α · (1/α) = 1 = 4k / (k² + 4) ⇒ k² + 4 = 4k ⇒ k² - 4k + 4 = 0 ⇒ (k - 2)² = 0 ⇒ k = 2.</t>
  </si>
  <si>
    <t>If α and β are the zeroes of the polynomial x² - 6x + k and 3α + 2β = 20, then the value of k is:</t>
  </si>
  <si>
    <t>α + β = 6 ⇒ 2α + 2β = 12. Given 3α + 2β = 20 ⇒ (2α + 2β) + α = 20 ⇒ 12 + α = 20 ⇒ α = 8. Then β = 6 - 8 = -2. Value of k = αβ = (8)(-2) = -16.</t>
  </si>
  <si>
    <t>If α and β are the zeroes of p(x) = 2x² - 5x + 7, then the value of α⁻¹ + β⁻¹ is:</t>
  </si>
  <si>
    <t>α⁻¹ + β⁻¹ = 1/α + 1/β = (α + β) / (αβ). Here α + β = 5/2 and αβ = 7/2. Thus, (5/2) / (7/2) = 5/7.</t>
  </si>
  <si>
    <t>If the sum of the zeroes of the quadratic polynomial p(x) = kx² - 3x + 2k is equal to their product, then k is:</t>
  </si>
  <si>
    <t>Sum of zeroes = 3/k and product of zeroes = 2k/k = 2. Given sum = product ⇒ 3/k = 2 ⇒ k = 3/2.</t>
  </si>
  <si>
    <t>The number of polynomials having zeroes as -2 and 5 is:</t>
  </si>
  <si>
    <t>Any polynomial of the form k(x + 2)(x - 5) where k is a non-zero real number has zeroes -2 and 5. Since k can be any real number, there are infinitely many such polynomials.</t>
  </si>
  <si>
    <t>If α and β are zeroes of x² - p(x + 1) - c, then (α + 1)(β + 1) is equal to:</t>
  </si>
  <si>
    <t>Rewrite polynomial as x² - px - (p + c). Here α + β = p and αβ = -(p + c). Expansion: (α + 1)(β + 1) = αβ + (α + β) + 1 = -(p + c) + p + 1 = 1 - c.</t>
  </si>
  <si>
    <t>If one zero of 3x² - 8x + 2k + 1 is seven times the other, then the value of k is:</t>
  </si>
  <si>
    <t>Let zeroes be α and 7α. Sum of zeroes = 8α = 8/3 ⇒ α = 1/3. Product of zeroes = 7α² = 7(1/3)² = 7/9 = (2k + 1)/3 ⇒ 21/9 = 2k + 1 ⇒ 7/3 - 1 = 2k ⇒ 4/3 = 2k ⇒ k = 2/3.</t>
  </si>
  <si>
    <t>If α and β are the zeroes of x² - 4x + 1, then the value of 1/α + 1/β - αβ is:</t>
  </si>
  <si>
    <t>α + β = 4 and αβ = 1. Value = (1/α + 1/β) - αβ = [(α + β)/αβ] - αβ = (4/1) - 1 = 3.</t>
  </si>
  <si>
    <t>A quadratic polynomial whose zeroes are the squares of the zeroes of x² - x - 1 is:</t>
  </si>
  <si>
    <t>Let zeroes of x² - x - 1 be α, β ⇒ α + β = 1, αβ = -1. New zeroes: A = α², B = β². Sum A + B = α² + β² = (α + β)² - 2αβ = 1² - 2(-1) = 3. Product AB = (αβ)² = (-1)² = 1. Polynomial = x² - 3x + 1.</t>
  </si>
  <si>
    <t>If α and β are the zeroes of ax² + bx + c, then α³/β + β³/α is equal to:</t>
  </si>
  <si>
    <t>α³/β + β³/α = (α⁴ + β⁴)/(αβ). Since α + β = -b/a and αβ = c/a, α² + β² = (b² - 2ac)/a². α⁴ + β⁴ = (α² + β²)² - 2α²β² = [(b² - 2ac)² - 2c²a²]/a⁴ = (b⁴ - 4ab²c + 2a²c²)/a⁴. Dividing by αβ = c/a gives (b⁴ - 4ab²c + 2a²c²)/(a³c).</t>
  </si>
  <si>
    <t>If α and β are zeroes of the quadratic polynomial f(x) = x² - p x + q, then the value of α⁴ + β⁴ is:</t>
  </si>
  <si>
    <t>α + β = p and αβ = q. α² + β² = p² - 2q. α⁴ + β⁴ = (α² + β²)² - 2(αβ)² = (p² - 2q)² - 2q² = p⁴ - 4p²q + 4q² - 2q² = p⁴ - 4p²q + 2q².</t>
  </si>
  <si>
    <t>If 2 and -2 are two zeroes of the polynomial x⁴ + x³ - 34x² - 4x + 120, then its other two zeroes are:</t>
  </si>
  <si>
    <t>Factors corresponding to zeroes 2 and -2 are (x - 2)(x + 2) = x² - 4. Dividing x⁴ + x³ - 34x² - 4x + 120 by (x² - 4) gives quotient x² + x - 30. Solving x² + x - 30 = 0 ⇒ (x + 6)(x - 5) = 0 ⇒ x = 5, -6.</t>
  </si>
  <si>
    <t>If the sum of the squares of zeroes of the quadratic polynomial f(x) = x² - 8x + k is 40, then the value of k is:</t>
  </si>
  <si>
    <t>Let zeroes be α, β. Given α² + β² = 40. Here α + β = 8 and αβ = k. Since α² + β² = (α + β)² - 2αβ ⇒ 40 = 8² - 2k ⇒ 40 = 64 - 2k ⇒ 2k = 24 ⇒ k = 12.</t>
  </si>
  <si>
    <t>If α and β are zeroes of 2x² + 5x + k such that α² + β² + αβ = 21/4, then the value of k is:</t>
  </si>
  <si>
    <t>α + β = -5/2 and αβ = k/2. Note that α² + β² + αβ = (α + β)² - αβ = (-5/2)² - k/2 = 25/4 - k/2. Given 25/4 - k/2 = 21/4 ⇒ k/2 = 4/4 = 1 ⇒ k = 2.</t>
  </si>
  <si>
    <t>If x = 1 is a zero of the polynomial p(x) = a²x² - 3ax + 3a - 1, then all possible real values of a are:</t>
  </si>
  <si>
    <t>Since x = 1 is a zero, p(1) = 0 ⇒ a²(1)² - 3a(1) + 3a - 1 = 0 ⇒ a² - 3a + 3a - 1 = 0 ⇒ a² - 1 = 0 ⇒ a² = 1 ⇒ a = 1 or a = -1.</t>
  </si>
  <si>
    <t>If α and β are zeroes of the polynomial x² - 6x + a and 3α + 2β = 20 is given, what is the value of (α - β)²?</t>
  </si>
  <si>
    <t>From earlier, α + β = 6 and 3α + 2β = 20 gives α = 8 and β = -2. Therefore (α - β)² = (8 - (-2))² = 10² = 100.</t>
  </si>
  <si>
    <t>Pair of Linear Equations in Two Variables</t>
  </si>
  <si>
    <t>The pair of equations x + 2y + 5 = 0 and -3x - 6y + 1 = 0 has:</t>
  </si>
  <si>
    <t>a₁/a₂ = 1/(-3) = -1/3, b₁/b₂ = 2/(-6) = -1/3, c₁/c₂ = 5/1 = 5. Since a₁/a₂ = b₁/b₂ ≠ c₁/c₂, the lines are parallel and have no solution.</t>
  </si>
  <si>
    <t>If a pair of linear equations is consistent, then the lines will be:</t>
  </si>
  <si>
    <t>A system of linear equations is consistent if it has at least one solution. Intersecting lines have 1 solution and coincident lines have infinite solutions; both are consistent.</t>
  </si>
  <si>
    <t>The line represented by x = 5 is parallel to which axis?</t>
  </si>
  <si>
    <t>The equation x = 5 represents a vertical line parallel to the y-axis at a distance of 5 units from it.</t>
  </si>
  <si>
    <t>If x = a and y = b is the solution of equations x - y = 2 and x + y = 4, then the values of a and b are respectively:</t>
  </si>
  <si>
    <t>Adding equations: (x - y) + (x + y) = 2 + 4 ⇒ 2x = 6 ⇒ x = 3 = a. Substituting x = 3 in x + y = 4 ⇒ 3 + y = 4 ⇒ y = 1 = b.</t>
  </si>
  <si>
    <t>The pair of linear equations y = 0 and y = -7 has:</t>
  </si>
  <si>
    <t>Both y = 0 (the x-axis) and y = -7 are horizontal lines. Since they are parallel and distinct, they never intersect, so there is no solution.</t>
  </si>
  <si>
    <t>For what value of k do the equations 3x - y + 8 = 0 and 6x - ky = -16 represent coincident lines?</t>
  </si>
  <si>
    <t>Rewrite second equation: 6x - ky + 16 = 0. For coincident lines: a₁/a₂ = b₁/b₂ = c₁/c₂ ⇒ 3/6 = (-1)/(-k) = 8/16 ⇒ 1/2 = 1/k ⇒ k = 2.</t>
  </si>
  <si>
    <t>For what value of k will the equations kx - y = 2 and 6x - 2y = 3 have a unique solution?</t>
  </si>
  <si>
    <t>For a unique solution: a₁/a₂ ≠ b₁/b₂ ⇒ k/6 ≠ (-1)/(-2) ⇒ k/6 ≠ 1/2 ⇒ k ≠ 3.</t>
  </si>
  <si>
    <t>If 2x + 3y = 11 and 2x - 4y = -24, then the value of m for which y = mx + 3 is:</t>
  </si>
  <si>
    <t>Subtracting 2x - 4y = -24 from 2x + 3y = 11 gives 7y = 35 ⇒ y = 5. Then 2x + 3(5) = 11 ⇒ 2x = -4 ⇒ x = -2. Substituting in y = mx + 3 ⇒ 5 = m(-2) + 3 ⇒ -2m = 2 ⇒ m = -1.</t>
  </si>
  <si>
    <t>The area of the triangle formed by the lines x = 3, y = 4, and x = 0, y = 0 (the axes) is:</t>
  </si>
  <si>
    <t>The bounded region is a rectangle of width 3 and height 4, but the region bounded by x = 3, y = 4, and the axes forms a rectangle of area 3 × 4 = 12 square units.</t>
  </si>
  <si>
    <t>Aruna has only Re 1 and Rs 2 coins with her. If the total number of coins that she has is 50 and the amount of money with her is Rs 75, then the number of Re 1 and Rs 2 coins are respectively:</t>
  </si>
  <si>
    <t>Let x be Re 1 coins and y be Rs 2 coins. x + y = 50 and x + 2y = 75. Subtracting equations gives y = 25. Thus x = 50 - 25 = 25.</t>
  </si>
  <si>
    <t>The sum of the digits of a two-digit number is 9. If 27 is added to it, the digits of the number get reversed. The number is:</t>
  </si>
  <si>
    <t>Let number be 10x + y. Given x + y = 9. Adding 27 gives reversed number: 10x + y + 27 = 10y + x ⇒ 9y - 9x = 27 ⇒ y - x = 3. Adding x + y = 9 and y - x = 3 gives 2y = 12 ⇒ y = 6, x = 3. Number = 36.</t>
  </si>
  <si>
    <t>If 217x + 131y = 913 and 131x + 217y = 827, then the value of x + y is:</t>
  </si>
  <si>
    <t>Adding both equations: (217 + 131)x + (131 + 217)y = 913 + 827 ⇒ 348x + 348y = 1740 ⇒ 348(x + y) = 1740 ⇒ x + y = 5.</t>
  </si>
  <si>
    <t>If 217x + 131y = 913 and 131x + 217y = 827, then the value of x - y is:</t>
  </si>
  <si>
    <t>Subtracting second equation from first: (217 - 131)x + (131 - 217)y = 913 - 827 ⇒ 86x - 86y = 86 ⇒ x - y = 1.</t>
  </si>
  <si>
    <t>A fraction becomes 1/3 when 1 is subtracted from the numerator and it becomes 1/4 when 8 is added to its denominator. The fraction is:</t>
  </si>
  <si>
    <t>Let fraction be x/y. (x - 1)/y = 1/3 ⇒ 3x - y = 3. x/(y + 8) = 1/4 ⇒ 4x - y = 8. Subtracting gives x = 5. Then 3(5) - y = 3 ⇒ y = 12. Fraction = 5/12.</t>
  </si>
  <si>
    <t>For what value of c will the pair of equations cx - y = 2 and 6x - 2y = 4 have infinitely many solutions?</t>
  </si>
  <si>
    <t>For infinitely many solutions: c/6 = (-1)/(-2) = 2/4. Both ratios equal 1/2, so c/6 = 1/2 ⇒ c = 3.</t>
  </si>
  <si>
    <t>The father's age is six times his son's age. Four years hence, the age of the father will be four times his son's age. The present ages (in years) of the son and the father are respectively:</t>
  </si>
  <si>
    <t>Let son's age = x, father's age = y. y = 6x. In 4 years: y + 4 = 4(x + 4) ⇒ 6x + 4 = 4x + 16 ⇒ 2x = 12 ⇒ x = 6. Father = 36.</t>
  </si>
  <si>
    <t>A boat goes 30 km upstream and 44 km downstream in 10 hours. In 13 hours, it can go 40 km upstream and 55 km downstream. The speed of the boat in still water is:</t>
  </si>
  <si>
    <t>Let speed in still water = x, stream = y. Let 1/(x-y) = u, 1/(x+y) = v. 30u + 44v = 10 and 40u + 55v = 13. Solving gives u = 1/5 and v = 1/11 ⇒ x - y = 5, x + y = 11. Adding gives 2x = 16 ⇒ x = 8 km/h.</t>
  </si>
  <si>
    <t>In the above boat problem, the speed of the stream is:</t>
  </si>
  <si>
    <t>Since x + y = 11 and x = 8 km/h, speed of stream y = 11 - 8 = 3 km/h.</t>
  </si>
  <si>
    <t>2 women and 5 men can together finish an embroidery work in 4 days, while 3 women and 6 men can finish it in 3 days. The time taken by 1 woman alone to finish the work is:</t>
  </si>
  <si>
    <t>Let 1 woman take x days and 1 man take y days. 2/x + 5/y = 1/4 and 3/x + 6/y = 1/3. Let 1/x = u, 1/y = v ⇒ 2u + 5v = 1/4 and 3u + 6v = 1/3. Solving gives u = 1/18, so x = 18 days.</t>
  </si>
  <si>
    <t>In the above work problem, the time taken by 1 man alone to finish the work is:</t>
  </si>
  <si>
    <t>From 2u + 5v = 1/4 with u = 1/18: 2(1/18) + 5v = 1/4 ⇒ 1/9 + 5v = 1/4 ⇒ 5v = 1/4 - 1/9 = 5/36 ⇒ v = 1/36. Thus y = 36 days.</t>
  </si>
  <si>
    <t>Places A and B are 100 km apart on a highway. One car starts from A and another from B at the same time. If they travel in the same direction at different speeds, they meet in 5 hours. If they travel towards each other, they meet in 1 hour. The speeds of the two cars are:</t>
  </si>
  <si>
    <t>Let speeds be x and y (x &gt; y). Same direction: 5(x - y) = 100 ⇒ x - y = 20. Opposite direction: 1(x + y) = 100 ⇒ x + y = 100. Adding gives 2x = 120 ⇒ x = 60 km/h, y = 40 km/h.</t>
  </si>
  <si>
    <t>Quadratic Equations</t>
  </si>
  <si>
    <t>Which of the following is a quadratic equation?</t>
  </si>
  <si>
    <t>Expanding (x - 1)³ gives x³ - 3x² + 3x - 1. The x³ terms cancel out from both sides, leaving 2x² - 3x + 1 = 0, which is a quadratic equation.</t>
  </si>
  <si>
    <t>If 1/2 is a root of the quadratic equation x² + kx - 5/4 = 0, then the value of k is:</t>
  </si>
  <si>
    <t>Substitute x = 1/2 into x² + kx - 5/4 = 0: (1/2)² + k(1/2) - 5/4 = 0 ⇒ 1/4 + k/2 - 5/4 = 0 ⇒ k/2 - 1 = 0 ⇒ k = 2.</t>
  </si>
  <si>
    <t>The discriminant of the quadratic equation 2x² - 4x + 3 = 0 is:</t>
  </si>
  <si>
    <t>Discriminant D = b² - 4ac = (-4)² - 4(2)(3) = 16 - 24 = -8.</t>
  </si>
  <si>
    <t>If the equation x² + 4x + k = 0 has real and equal roots, then:</t>
  </si>
  <si>
    <t>For equal roots, D = b² - 4ac = 0 ⇒ 4² - 4(1)(k) = 0 ⇒ 16 - 4k = 0 ⇒ k = 4.</t>
  </si>
  <si>
    <t>The roots of the quadratic equation x² - 0.04 = 0 are:</t>
  </si>
  <si>
    <t>x² = 0.04 ⇒ x = ± √0.04 = ± 0.2.</t>
  </si>
  <si>
    <t>Values of k for which the quadratic equation 2x² - kx + k = 0 has equal roots are:</t>
  </si>
  <si>
    <t>For equal roots, D = b² - 4ac = 0 ⇒ (-k)² - 4(2)(k) = 0 ⇒ k² - 8k = 0 ⇒ k(k - 8) = 0 ⇒ k = 0 or k = 8.</t>
  </si>
  <si>
    <t>If one root of the quadratic equation px² - 14x + 8 = 0 is 6 times the other, then p is equal to:</t>
  </si>
  <si>
    <t>Let roots be α and 6α. Sum = 7α = 14/p ⇒ α = 2/p. Product = 6α² = 8/p ⇒ 6(2/p)² = 8/p ⇒ 24/p² = 8/p ⇒ p = 3.</t>
  </si>
  <si>
    <t>The quadratic equation 2x² - √5 x + 1 = 0 has:</t>
  </si>
  <si>
    <t>D = b² - 4ac = (-√5)² - 4(2)(1) = 5 - 8 = -3 &lt; 0. Since D &lt; 0, the equation has no real roots.</t>
  </si>
  <si>
    <t>A natural number, when increased by 12, equals 160 times its reciprocal. The number is:</t>
  </si>
  <si>
    <t>Let number be x. x + 12 = 160/x ⇒ x² + 12x - 160 = 0 ⇒ (x + 20)(x - 8) = 0. Since x is a natural number, x = 8.</t>
  </si>
  <si>
    <t>If α and β are roots of 2x² - 6x + 3 = 0, then the value of (α/β + β/α) + 3(1/α + 1/β) + 2αβ is:</t>
  </si>
  <si>
    <t>α + β = 3, αβ = 3/2. α/β + β/α = (α² + β²)/αβ = [(α+β)² - 2αβ]/αβ = (9 - 3)/(3/2) = 4. 1/α + 1/β = (α+β)/αβ = 3/(3/2) = 2. Value = 4 + 3(2) + 2(3/2) = 13.</t>
  </si>
  <si>
    <t>Which constant should be added and subtracted to solve 9x² + (3/4)x - √2 = 0 by completing the square?</t>
  </si>
  <si>
    <t>Rewrite as (3x)² + 2(3x)(1/8) - √2 = 0. To complete the square, add and subtract (1/8)² = 1/64.</t>
  </si>
  <si>
    <t>Find the roots of the quadratic equation 4x² - 4ax + (a² - b²) = 0.</t>
  </si>
  <si>
    <t>D = (-4a)² - 4(4)(a² - b²) = 16b². Roots x = [4a ± √(16b²)] / 8 = (4a ± 4b) / 8 = (a ± b) / 2.</t>
  </si>
  <si>
    <t>Solve for x: 1/(x + 4) - 1/(x - 7) = 11/30 (where x ≠ -4, 7).</t>
  </si>
  <si>
    <t>LHS = -11 / (x² - 3x - 28) = 11/30 ⇒ x² - 3x - 28 = -30 ⇒ x² - 3x + 2 = 0 ⇒ (x - 1)(x - 2) = 0 ⇒ x = 1, 2.</t>
  </si>
  <si>
    <t>If the roots of (c² - ab)x² - 2(a² - bc)x + (b² - ac) = 0 are equal, then which of the following is true?</t>
  </si>
  <si>
    <t>D = 0 ⇒ 4(a² - bc)² - 4(c² - ab)(b² - ac) = 0. Expanding and simplifying gives 4a(a³ + b³ + c³ - 3abc) = 0, so either a = 0 or a³ + b³ + c³ = 3abc.</t>
  </si>
  <si>
    <t>A motorboat whose speed is 15 km/h in still water goes 30 km downstream and returns in 4 hours 30 minutes. The speed of the stream is:</t>
  </si>
  <si>
    <t>30/(15 + x) + 30/(15 - x) = 9/2 ⇒ 30[30/(225 - x²)] = 9/2 ⇒ 900/(225 - x²) = 9/2 ⇒ 200 = 225 - x² ⇒ x² = 25 ⇒ x = 5 km/h.</t>
  </si>
  <si>
    <t>If α and β are roots of ax² + bx + c = 0, then the value of α³ + β³ is:</t>
  </si>
  <si>
    <t>α³ + β³ = (α + β)³ - 3αβ(α + β) = (-b/a)³ - 3(c/a)(-b/a) = -b³/a³ + 3bc/a² = (3abc - b³)/a³.</t>
  </si>
  <si>
    <t>Solve for x: √(3x² + 1) + √(x² - 1) = 2x.</t>
  </si>
  <si>
    <t>√(3x² + 1) = 2x - √(x² - 1). Squaring both sides: 3x² + 1 = 4x² + (x² - 1) - 4x√(x² - 1) ⇒ 2(x² - 1) = 4x√(x² - 1). For x ≥ 1, dividing by 2√(x² - 1) gives √(x² - 1) = 2x ⇒ x² - 1 = 4x² (no real solution). Thus √(x² - 1) = 0 ⇒ x = 1. Checking x = 1: √4 + 0 = 2(1) holds.</t>
  </si>
  <si>
    <t>If x = √(6 + √(6 + √(6 + ... ∞))), then x is equal to:</t>
  </si>
  <si>
    <t>x = √(6 + x) ⇒ x² = 6 + x ⇒ x² - x - 6 = 0 ⇒ (x - 3)(x + 2) = 0. Since x &gt; 0, x = 3.</t>
  </si>
  <si>
    <t>If the ratio of the roots of lx² + nx + n = 0 is p : q, then √(p/q) + √(q/p) + √(n/l) is equal to:</t>
  </si>
  <si>
    <t>Let roots be α, β with α/β = p/q. Then √(p/q) + √(q/p) = (α + β)/√(αβ). For lx² + nx + n = 0, α + β = -n/l and αβ = n/l. So (α + β)/√(αβ) = (-n/l)/√(n/l) = -√(n/l). Thus -√(n/l) + √(n/l) = 0.</t>
  </si>
  <si>
    <t>If α and β are roots of x² - px + q = 0, then the quadratic equation whose roots are (α² + β²) and (α³ + β³) is:</t>
  </si>
  <si>
    <t>Sum of roots = (α² + β²) + (α³ + β³) = (p² - 2q) + (p³ - 3pq). Product of roots = (p² - 2q)(p³ - 3pq). Required equation: x² - (Sum)x + Product = 0.</t>
  </si>
  <si>
    <t>Solve for x: 9ˣ⁺¹ - 28 · 3ˣ + 3 = 0.</t>
  </si>
  <si>
    <t>9 · (3ˣ)² - 28 · (3ˣ) + 3 = 0. Let y = 3ˣ ⇒ 9y² - 28y + 3 = 0 ⇒ (9y - 1)(y - 3) = 0 ⇒ y = 1/9 or y = 3. Thus 3ˣ = 3⁻² ⇒ x = -1, and 3ˣ = 3¹ ⇒ x = 1.</t>
  </si>
  <si>
    <t>Arithmetic Progressions</t>
  </si>
  <si>
    <t>In an Arithmetic Progression, if d = -4, n = 7, and aₙ = 4, then the first term 'a' is:</t>
  </si>
  <si>
    <t>aₙ = a + (n - 1)d ⇒ 4 = a + (7 - 1)(-4) ⇒ 4 = a - 24 ⇒ a = 28.</t>
  </si>
  <si>
    <t>The 11th term of the AP: -3, -1/2, 2, ... is:</t>
  </si>
  <si>
    <t>First term a = -3. Common difference d = -1/2 - (-3) = 5/2. 11th term T₁₁ = a + 10d = -3 + 10(5/2) = -3 + 25 = 22.</t>
  </si>
  <si>
    <t>If the common difference of an AP is 5, then what is a₁₈ - a₁₃?</t>
  </si>
  <si>
    <t>a₁₈ - a₁₃ = (a + 17d) - (a + 12d) = 5d. Given d = 5, a₁₈ - a₁₃ = 5(5) = 25.</t>
  </si>
  <si>
    <t>Which term of the AP: 21, 18, 15, ... is 0?</t>
  </si>
  <si>
    <t>a = 21, d = 18 - 21 = -3. Let aₙ = 0 ⇒ 21 + (n - 1)(-3) = 0 ⇒ -3(n - 1) = -21 ⇒ n - 1 = 7 ⇒ n = 8.</t>
  </si>
  <si>
    <t>The first four terms of an AP, whose first term is -2 and common difference is -2, are:</t>
  </si>
  <si>
    <t>Terms are a, a+d, a+2d, a+3d = -2, -2+(-2), -2+2(-2), -2+3(-2) = -2, -4, -6, -8.</t>
  </si>
  <si>
    <t>If the 3rd and 9th terms of an AP are 4 and -8 respectively, which term of this AP is zero?</t>
  </si>
  <si>
    <t>a + 2d = 4 and a + 8d = -8. Subtracting gives 6d = -12 ⇒ d = -2. Then a + 2(-2) = 4 ⇒ a = 8. Let aₙ = 0 ⇒ 8 + (n - 1)(-2) = 0 ⇒ 2(n - 1) = 8 ⇒ n = 5.</t>
  </si>
  <si>
    <t>Two APs have the same common difference. The difference between their 100th terms is 100. What is the difference between their 1000th terms?</t>
  </si>
  <si>
    <t>Let first AP be a₁, a₁ + d, ... and second be a₂, a₂ + d, ... Difference between 100th terms: (a₁ + 99d) - (a₂ + 99d) = a₁ - a₂ = 100. Difference between 1000th terms: (a₁ + 999d) - (a₂ + 999d) = a₁ - a₂ = 100.</t>
  </si>
  <si>
    <t>How many two-digit numbers are divisible by 3?</t>
  </si>
  <si>
    <t>Two-digit numbers divisible by 3 are 12, 15, 18, ..., 99. Here a = 12, d = 3, l = 99. 99 = 12 + (n - 1)3 ⇒ 87 = 3(n - 1) ⇒ n - 1 = 29 ⇒ n = 30.</t>
  </si>
  <si>
    <t>Find the sum of the first 100 positive integers.</t>
  </si>
  <si>
    <t>Sum of first n natural numbers Sₙ = n(n + 1) / 2. S₁₀₀ = (100 × 101) / 2 = 5050.</t>
  </si>
  <si>
    <t>If the nth term of an AP is given by aₙ = 3 + 4n, then the common difference is:</t>
  </si>
  <si>
    <t>a₁ = 3 + 4(1) = 7, a₂ = 3 + 4(2) = 11. Common difference d = a₂ - a₁ = 11 - 7 = 4.</t>
  </si>
  <si>
    <t>The sum of the first 15 multiples of 8 is:</t>
  </si>
  <si>
    <t>Multiples of 8 are 8, 16, 24, ..., 120. n = 15, a = 8, l = 120. S₁₅ = (15/2) × (8 + 120) = (15/2) × 128 = 15 × 64 = 960.</t>
  </si>
  <si>
    <t>If 7 times the 7th term of an AP is equal to 11 times its 11th term, then its 18th term will be:</t>
  </si>
  <si>
    <t>7(a + 6d) = 11(a + 10d) ⇒ 7a + 42d = 11a + 110d ⇒ 4a + 68d = 0 ⇒ 4(a + 17d) = 0 ⇒ a + 17d = 0. So the 18th term T₁₈ = 0.</t>
  </si>
  <si>
    <t>If the sum of the first n terms of an AP is Sₙ = 3n² + 5n, then its 16th term is:</t>
  </si>
  <si>
    <t>aₙ = Sₙ - Sₙ₋₁. S₁₆ = 3(16)² + 5(16) = 3(256) + 80 = 848. S₁₅ = 3(15)² + 5(15) = 3(225) + 75 = 750. T₁₆ = 848 - 750 = 98.</t>
  </si>
  <si>
    <t>If pth, qth, and rth terms of an AP are a, b, c respectively, then a(q - r) + b(r - p) + c(p - q) is equal to:</t>
  </si>
  <si>
    <t>Let first term be A and common difference be D. a = A + (p-1)D, b = A + (q-1)D, c = A + (r-1)D. Substituting into a(q - r) + b(r - p) + c(p - q) expands to 0.</t>
  </si>
  <si>
    <t>Find the sum of all 3-digit natural numbers which are divisible by 7.</t>
  </si>
  <si>
    <t>Smallest 3-digit number divisible by 7 is 105, largest is 994. AP: 105, 112, ..., 994. 994 = 105 + (n - 1)7 ⇒ 889 = 7(n - 1) ⇒ n - 1 = 127 ⇒ n = 128. Sum = (128/2)(105 + 994) = 64 × 1099 = 70336.</t>
  </si>
  <si>
    <t>If the sum of first m terms of an AP is equal to the sum of first n terms (m ≠ n), then the sum of its first (m + n) terms is:</t>
  </si>
  <si>
    <t>Sₘ = Sₙ ⇒ (m/2)[2a + (m-1)d] = (n/2)[2a + (n-1)d]. Simplifying gives 2a + (m + n - 1)d = 0. Then Sₘ₊ₙ = [(m+n)/2][2a + (m+n-1)d] = [(m+n)/2](0) = 0.</t>
  </si>
  <si>
    <t>If the ratio of the sum of the first n terms of two APs is (7n + 1) : (4n + 27), then the ratio of their 11th terms is:</t>
  </si>
  <si>
    <t>To find the ratio of 11th terms, substitute n = 2(11) - 1 = 21 into Sₙ ratio. Ratio = [7(21) + 1] / [4(21) + 27] = (147 + 1) / (84 + 27) = 148 / 111 = 4 / 3.</t>
  </si>
  <si>
    <t>The sum of four consecutive numbers in an AP is 32 and the ratio of the product of the first and the last term to the product of the two middle terms is 7 : 15. The numbers are:</t>
  </si>
  <si>
    <t>Let numbers be a - 3d, a - d, a + d, a + 3d. Sum = 4a = 32 ⇒ a = 8. [(8 - 3d)(8 + 3d)] / [(8 - d)(8 + d)] = 7/15 ⇒ (64 - 9d²) / (64 - d²) = 7/15 ⇒ d² = 4 ⇒ d = 2. Numbers are 2, 6, 10, 14.</t>
  </si>
  <si>
    <t>If Sₙ denotes the sum of first n terms of an AP, then S₃₀ - S₂₀ - S₁₀ is equal to:</t>
  </si>
  <si>
    <t>S₃₀ - S₂₀ is the sum of terms T₂₁ to T₃₀. S₁₀ is the sum of terms T₁ to T₁₀. Taking formula expansion shows S₃₀ = 3(S₂₀ - S₁₀) ⇒ S₃₀ - S₂₀ - S₁₀ = 2S₁₀.</t>
  </si>
  <si>
    <t>If a, b, c are in AP, then the value of (a - c)² / (b² - ac) is:</t>
  </si>
  <si>
    <t>Since a, b, c are in AP, 2b = a + c ⇒ b = (a + c)/2. b² - ac = [(a + c)/2]² - ac = (a² + 2ac + c² - 4ac)/4 = (a - c)²/4. Therefore, (a - c)² / [(a - c)²/4] = 4.</t>
  </si>
  <si>
    <t>The sum of the series 101 + 99 + 97 + ... + 47 is:</t>
  </si>
  <si>
    <t>AP: a = 101, d = -2, l = 47. 47 = 101 + (n - 1)(-2) ⇒ -54 = -2(n - 1) ⇒ n - 1 = 27 ⇒ n = 28. Sum = (28/2)(101 + 47) = 14 × 148 = 2072.</t>
  </si>
  <si>
    <t>Triangles</t>
  </si>
  <si>
    <t>In ΔABC, DE || BC such that AD = 3 cm, DB = 5 cm, and AE = 6 cm. The length of EC is:</t>
  </si>
  <si>
    <t>By Basic Proportionality Theorem (BPT), AD / DB = AE / EC ⇒ 3 / 5 = 6 / EC ⇒ EC = (5 × 6) / 3 = 10 cm.</t>
  </si>
  <si>
    <t>If ΔABC ~ ΔEDF and ΔABC is not similar to ΔDEF, then which of the following is NOT true?</t>
  </si>
  <si>
    <t>Since ΔABC ~ ΔEDF, corresponding sides give AB/ED = BC/DF = AC/EF. Thus AB · EF = AC · DE and BC · EF = AC · FD, but BC · DE = AB · EF is incorrect.</t>
  </si>
  <si>
    <t>If in two triangles ABC and PQR, AB/QR = BC/PR = CA/PQ, then which of the following similarity relations holds true?</t>
  </si>
  <si>
    <t>Since AB/QR = BC/PR = CA/PQ, matching corresponding vertices gives A ↔ Q, B ↔ R, C ↔ P. Therefore, ΔPQR ~ ΔCAB.</t>
  </si>
  <si>
    <t>A vertical pole of length 6 m casts a shadow 4 m long on the ground and at the same time a tower casts a shadow 28 m long. The height of the tower is:</t>
  </si>
  <si>
    <t>By similarity of triangles formed by the pole, tower and their shadows: Height of pole / Shadow of pole = Height of tower / Shadow of tower ⇒ 6 / 4 = h / 28 ⇒ h = (6 × 28) / 4 = 42 m.</t>
  </si>
  <si>
    <t>In ΔABC, D and E are points on sides AB and AC such that DE || BC. If AD/DB = 2/3 and AC = 18 cm, then AE is:</t>
  </si>
  <si>
    <t>AD/AB = AD/(AD + DB) = 2/(2 + 3) = 2/5. By BPT, AE/AC = AD/AB = 2/5 ⇒ AE = (2/5) × 18 = 7.2 cm.</t>
  </si>
  <si>
    <t>If ΔABC ~ ΔDEF such that 2AB = DE and BC = 8 cm, then the length of EF is:</t>
  </si>
  <si>
    <t>Since ΔABC ~ ΔDEF, AB / DE = BC / EF. Given DE = 2AB ⇒ AB / (2AB) = 8 / EF ⇒ 1 / 2 = 8 / EF ⇒ EF = 16 cm.</t>
  </si>
  <si>
    <t>In an isosceles triangle ABC, if AC = BC and AB² = 2AC², then the measure of ∠C is:</t>
  </si>
  <si>
    <t>Given AB² = 2AC² = AC² + AC² = AC² + BC² (since AC = BC). By converse of Pythagoras Theorem, ΔABC is a right-angled triangle at C, so ∠C = 90°.</t>
  </si>
  <si>
    <t>The perimeters of two similar triangles ΔABC and ΔPQR are 36 cm and 24 cm respectively. If PQ = 10 cm, then the length of AB is:</t>
  </si>
  <si>
    <t>The ratio of perimeters of two similar triangles is equal to the ratio of their corresponding sides: Perimeter(ABC) / Perimeter(PQR) = AB / PQ ⇒ 36 / 24 = AB / 10 ⇒ 3 / 2 = AB / 10 ⇒ AB = 15 cm.</t>
  </si>
  <si>
    <t>In ΔABC, AD is the internal bisector of ∠A meeting BC at D. If AB = 6 cm, AC = 8 cm, and BD = 3 cm, then CD is:</t>
  </si>
  <si>
    <t>By Angle Bisector Theorem, AB / AC = BD / CD ⇒ 6 / 8 = 3 / CD ⇒ 3 / 4 = 3 / CD ⇒ CD = 4 cm.</t>
  </si>
  <si>
    <t>In ΔABC, ∠B = 90° and BD ⊥ AC. If AD = 4 cm and CD = 9 cm, then the length of BD is equal to:</t>
  </si>
  <si>
    <t>In a right triangle with altitude to the hypotenuse, BD² = AD · CD ⇒ BD² = 4 × 9 = 36 ⇒ BD = 6 cm.</t>
  </si>
  <si>
    <t>It is given that ΔABC ~ ΔPQR, with BC/QR = 1/3. Then Area(ΔPQR) / Area(ΔABC) is equal to:</t>
  </si>
  <si>
    <t>The ratio of the areas of two similar triangles is equal to the square of the ratio of their corresponding sides: Area(ΔPQR) / Area(ΔABC) = (QR / BC)² = (3 / 1)² = 9.</t>
  </si>
  <si>
    <t>In ΔABC, DE || BC such that Area(ΔADE) = Area(quadrilateral BCED). The ratio AD : AB is:</t>
  </si>
  <si>
    <t>Area(ΔABC) = Area(ΔADE) + Area(quadrilateral BCED) = 2 · Area(ΔADE). Since ΔADE ~ ΔABC, Area(ΔADE)/Area(ΔABC) = (AD/AB)² ⇒ 1/2 = (AD/AB)² ⇒ AD/AB = 1 / √2.</t>
  </si>
  <si>
    <t>In a right-angled triangle ABC right angled at C, if p is the length of the perpendicular from C to AB and a, b, c are the sides opposite to A, B, C respectively, then 1/p² is equal to:</t>
  </si>
  <si>
    <t>Area of ΔABC = 1/2 ab = 1/2 cp ⇒ cp = ab ⇒ p = ab / c. Thus 1/p² = c² / (a²b²). In right triangle, c² = a² + b² ⇒ 1/p² = (a² + b²) / (a²b²) = 1/a² + 1/b².</t>
  </si>
  <si>
    <t>In an equilateral triangle ABC of side a, the length of an altitude is:</t>
  </si>
  <si>
    <t>In an equilateral triangle of side a, the altitude bisects the base into two segments of length a/2. By Pythagoras Theorem, h² + (a/2)² = a² ⇒ h² = a² - a²/4 = 3a²/4 ⇒ h = (√3 / 2) a.</t>
  </si>
  <si>
    <t>D, E, and F are respectively the mid-points of sides AB, BC, and CA of ΔABC. The ratio of Area(ΔDEF) to Area(ΔABC) is:</t>
  </si>
  <si>
    <t>By Mid-point Theorem, ΔDEF is similar to ΔABC with side ratio 1/2. Therefore, Area(ΔDEF) / Area(ΔABC) = (1/2)² = 1/4.</t>
  </si>
  <si>
    <t>In ΔABC, ∠A = 90° and AD ⊥ BC. If BC = 13 cm and AC = 5 cm, then the ratio Area(ΔABC) : Area(ΔADC) is:</t>
  </si>
  <si>
    <t>Since ΔABC ~ ΔDAC, the ratio of their areas is equal to the square of the ratio of their hypotenuses: Area(ΔABC) / Area(ΔADC) = (BC / AC)² = (13 / 5)² = 169 / 25.</t>
  </si>
  <si>
    <t>In ΔABC, AD is a median. If AB² + AC² = 290 cm² and AD = 9 cm, then the length of BC is:</t>
  </si>
  <si>
    <t>By Apollonius' Theorem: AB² + AC² = 2(AD² + BD²) ⇒ 290 = 2(9² + BD²) ⇒ 145 = 81 + BD² ⇒ BD² = 64 ⇒ BD = 8 cm. Since D is the midpoint of BC, BC = 2 BD = 16 cm.</t>
  </si>
  <si>
    <t>In an equilateral triangle ABC, D is a point on side BC such that BD = (1/3) BC. Then 9 AD² is equal to:</t>
  </si>
  <si>
    <t>Draw AE ⊥ BC. BE = BC/2, BD = BC/3 ⇒ DE = BE - BD = BC/6. In ΔADE, AD² = AE² + DE² = (AB² - BE²) + DE² = AB² - (AB/2)² + (AB/6)² = AB² - AB²/4 + AB²/36 = 28 AB²/36 = 7 AB²/9 ⇒ 9 AD² = 7 AB².</t>
  </si>
  <si>
    <t>BL and CM are medians of ΔABC right-angled at A. Then 4(BL² + CM²) is equal to:</t>
  </si>
  <si>
    <t>In right ΔBAL, BL² = AB² + AL² = AB² + (AC/2)². In right ΔCAM, CM² = AC² + AM² = AC² + (AB/2)². Adding gives BL² + CM² = (5/4)(AB² + AC²) = (5/4) BC² ⇒ 4(BL² + CM²) = 5 BC².</t>
  </si>
  <si>
    <t>O is any point inside a rectangle ABCD. Then OB² + OD² is equal to:</t>
  </si>
  <si>
    <t>By drawing lines through O parallel to the sides of rectangle ABCD and applying Pythagoras Theorem in four right triangles, we get OB² + OD² = OA² + OC².</t>
  </si>
  <si>
    <t>In ΔABC, if AD ⊥ BC and AD² = BD · CD, then the measure of ∠BAC is equal to:</t>
  </si>
  <si>
    <t>Since AD² = BD · CD ⇒ AD/BD = CD/AD. In ΔABD and ΔCAD, ∠ADB = ∠ADC = 90° and side ratios match, so ΔABD ~ ΔCAD. Thus ∠BAD = ∠ACD and ∠ABD = ∠CAD. Adding gives ∠BAC = ∠BAD + ∠CAD = 90°.</t>
  </si>
  <si>
    <t>Coordinate Geometry</t>
  </si>
  <si>
    <t>The distance of the point P(-6, 8) from the origin is:</t>
  </si>
  <si>
    <t>Distance from origin = √[(-6)² + 8²] = √(36 + 64) = √100 = 10 units.</t>
  </si>
  <si>
    <t>The distance between the points A(0, 6) and B(0, -2) is:</t>
  </si>
  <si>
    <t>Distance AB = √[(0 - 0)² + (-2 - 6)²] = √[(-8)²] = 8 units.</t>
  </si>
  <si>
    <t>The midpoint of the line segment joining the points A(2, 4) and B(6, 8) is:</t>
  </si>
  <si>
    <t>Midpoint M = [(x₁ + x₂)/2, (y₁ + y₂)/2] = [(2 + 6)/2, (4 + 8)/2] = (4, 6).</t>
  </si>
  <si>
    <t>The distance of the point P(3, 4) from the x-axis is:</t>
  </si>
  <si>
    <t>The perpendicular distance of any point from the x-axis is given by the absolute value of its y-coordinate, which is |4| = 4 units.</t>
  </si>
  <si>
    <t>If P(a/3, 4) is the midpoint of the line segment joining Q(-6, 5) and R(-2, 3), then the value of 'a' is:</t>
  </si>
  <si>
    <t>x-coordinate of midpoint = (-6 + (-2))/2 = -4. Given a/3 = -4 ⇒ a = -12.</t>
  </si>
  <si>
    <t>The perimeter of a triangle with vertices (0, 4), (0, 0), and (3, 0) is:</t>
  </si>
  <si>
    <t>Side lengths are 4 units (along y-axis), 3 units (along x-axis), and hypotenuse = √(3² + 4²) = 5 units. Perimeter = 4 + 3 + 5 = 12 units.</t>
  </si>
  <si>
    <t>The ratio in which the y-axis divides the line segment joining A(5, -6) and B(-1, -4) is:</t>
  </si>
  <si>
    <t>Let the ratio be k : 1. The x-coordinate of the dividing point on the y-axis is 0 ⇒ [k(-1) + 1(5)] / (k + 1) = 0 ⇒ -k + 5 = 0 ⇒ k = 5. Ratio is 5 : 1.</t>
  </si>
  <si>
    <t>The point which divides the line segment joining (7, -6) and (3, 4) in the ratio 1 : 2 internally lies in quadrant:</t>
  </si>
  <si>
    <t>x = (1·3 + 2·7)/3 = 17/3 &gt; 0. y = [1·4 + 2(-6)]/3 = -8/3 &lt; 0. Since x &gt; 0 and y &lt; 0, the point lies in Quadrant IV.</t>
  </si>
  <si>
    <t>If A(1, 2), B(4, y), C(x, 6), and D(3, 5) are the vertices of a parallelogram taken in order, then the values of x and y are respectively:</t>
  </si>
  <si>
    <t>Diagonals of a parallelogram bisect each other. Midpoint of AC = Midpoint of BD ⇒ [(1+x)/2, (2+6)/2] = [(4+3)/2, (y+5)/2] ⇒ (1+x)/2 = 7/2 ⇒ x = 6; and 4 = (y+5)/2 ⇒ y = 3.</t>
  </si>
  <si>
    <t>If the centroid of the triangle formed by (7, x), (y, -6), and (9, 10) is at (6, 3), then the values of x and y are respectively:</t>
  </si>
  <si>
    <t>Centroid x-coord = (7 + y + 9)/3 = 6 ⇒ 16 + y = 18 ⇒ y = 2. Centroid y-coord = (x - 6 + 10)/3 = 3 ⇒ x + 4 = 9 ⇒ x = 5.</t>
  </si>
  <si>
    <t>The area of the quadrilateral whose vertices taken in order are A(-5, 7), B(-4, -5), C(-1, -6), and D(4, 5) is:</t>
  </si>
  <si>
    <t>Area(quadrilateral ABCD) = Area(ΔABC) + Area(ΔADC) = 17.5 + 54.5 = 72 sq units.</t>
  </si>
  <si>
    <t>The point on the x-axis which is equidistant from (2, -5) and (-2, 9) is:</t>
  </si>
  <si>
    <t>Let point be P(x, 0). PA² = PB² ⇒ (x - 2)² + (0 + 5)² = (x + 2)² + (0 - 9)² ⇒ x² - 4x + 29 = x² + 4x + 85 ⇒ -8x = 56 ⇒ x = -7. Point is (-7, 0).</t>
  </si>
  <si>
    <t>The coordinates of point P which divides the line segment joining A(-1, 7) and B(4, -3) in the ratio 2 : 3 are:</t>
  </si>
  <si>
    <t>x = [2(4) + 3(-1)] / (2 + 3) = 5/5 = 1. y = [2(-3) + 3(7)] / (2 + 3) = 15/5 = 3. Point P = (1, 3).</t>
  </si>
  <si>
    <t>The coordinates of the circumcenter of the right triangle formed by vertices O(0, 0), A(6, 0), and B(0, 8) are:</t>
  </si>
  <si>
    <t>In a right-angled triangle, the circumcenter is the midpoint of the hypotenuse AB. Midpoint of (6, 0) and (0, 8) = [(6+0)/2, (0+8)/2] = (3, 4).</t>
  </si>
  <si>
    <t>If the distance between the points (4, p) and (1, 0) is 5, then the value of p is:</t>
  </si>
  <si>
    <t>Distance² = (4 - 1)² + (p - 0)² = 25 ⇒ 9 + p² = 25 ⇒ p² = 16 ⇒ p = ± 4.</t>
  </si>
  <si>
    <t>The line segment joining A(3, -1) and B(8, 9) is trisected by P and Q. If P is nearer to A, the coordinates of P are:</t>
  </si>
  <si>
    <t>P divides AB internally in the ratio 1 : 2. x = [1(8) + 2(3)]/3 = 14/3. y = [1(9) + 2(-1)]/3 = 7/3. Point P = (14/3, 7/3).</t>
  </si>
  <si>
    <t>The relation between x and y such that the point (x, y) is equidistant from the points (3, 6) and (-3, 4) is:</t>
  </si>
  <si>
    <t>(x - 3)² + (y - 6)² = (x + 3)² + (y - 4)² ⇒ -6x + 9 - 12y + 36 = 6x + 9 - 8y + 16 ⇒ -12x - 4y = -20 ⇒ 3x + y = 5.</t>
  </si>
  <si>
    <t>The ratio in which the line 2x + y - 4 = 0 divides the line segment joining A(2, -2) and B(3, 7) is:</t>
  </si>
  <si>
    <t>Let ratio be k : 1. Point P = [(3k+2)/(k+1), (7k-2)/(k+1)]. Substituting in 2x + y - 4 = 0 ⇒ 2(3k+2) + (7k-2) - 4(k+1) = 0 ⇒ 6k + 4 + 7k - 2 - 4k - 4 = 0 ⇒ 9k - 2 = 0 ⇒ k = 2/9. Ratio = 2 : 9.</t>
  </si>
  <si>
    <t>If the points A(k+1, 2k), B(3k, 2k+3), and C(5k-1, 5k) are collinear, then the non-fractional value of k is:</t>
  </si>
  <si>
    <t>Area of ΔABC = 0 ⇒ 6k² - 15k + 6 = 0 ⇒ 2k² - 5k + 2 = 0 ⇒ (2k - 1)(k - 2) = 0 ⇒ k = 2 or k = 1/2. Non-fractional value is k = 2.</t>
  </si>
  <si>
    <t>The center of a circle is C(2a, a - 7). If the circle passes through P(11, -9) and has a diameter of 10√2 units, then the positive integer values of 'a' are:</t>
  </si>
  <si>
    <t>Radius = 5√2 ⇒ CP² = 50 ⇒ (2a - 11)² + (a - 7 + 9)² = 50 ⇒ 4a² - 44a + 121 + a² + 4a + 4 = 50 ⇒ 5a² - 40a + 75 = 0 ⇒ a² - 8a + 15 = 0 ⇒ a = 3 or a = 5.</t>
  </si>
  <si>
    <t>If the area of the triangle with vertices (x, 2), (-3, -4), and (3, 5) is 12 sq units, then the positive value of x is:</t>
  </si>
  <si>
    <t>Area = (1/2)|x(-4 - 5) + (-3)(5 - 2) + 3(2 + 4)| = 12 ⇒ |-9x + 9| = 24. For -9x + 9 = -24 ⇒ -9x = -33 ⇒ x = 11/3.</t>
  </si>
  <si>
    <t>Introduction to Trigonometry</t>
  </si>
  <si>
    <t>If sin θ = 3/5, then the value of cos θ is:</t>
  </si>
  <si>
    <t>cos θ = √(1 - sin² θ) = √(1 - 9/25) = √(16/25) = 4/5.</t>
  </si>
  <si>
    <t>The value of (sin 30° + cos 60°) is:</t>
  </si>
  <si>
    <t>sin 30° = 1/2 and cos 60° = 1/2. Therefore, sin 30° + cos 60° = 1/2 + 1/2 = 1.</t>
  </si>
  <si>
    <t>The value of (9 sec² A - 9 tan² A) is:</t>
  </si>
  <si>
    <t>Using identity sec² A - tan² A = 1: 9 sec² A - 9 tan² A = 9(sec² A - tan² A) = 9(1) = 9.</t>
  </si>
  <si>
    <t>If ΔABC is right angled at C, then the value of cos(A + B) is:</t>
  </si>
  <si>
    <t>In ΔABC, A + B + C = 180°. Since C = 90°, A + B = 90°. Thus cos(A + B) = cos 90° = 0.</t>
  </si>
  <si>
    <t>If tan A = 4/3, then the value of sec A is:</t>
  </si>
  <si>
    <t>sec A = √(1 + tan² A) = √(1 + 16/9) = √(25/9) = 5/3.</t>
  </si>
  <si>
    <t>If 3 cot A = 4, then the value of (1 - tan² A) / (1 + tan² A) is:</t>
  </si>
  <si>
    <t>cot A = 4/3 ⇒ tan A = 3/4. (1 - tan² A)/(1 + tan² A) = (1 - 9/16)/(1 + 9/16) = (7/16)/(25/16) = 7/25.</t>
  </si>
  <si>
    <t>If sin A + sin² A = 1, then the value of (cos² A + cos⁴ A) is:</t>
  </si>
  <si>
    <t>sin A = 1 - sin² A = cos² A. Squaring both sides: sin² A = cos⁴ A. Thus cos² A + cos⁴ A = cos² A + sin² A = 1.</t>
  </si>
  <si>
    <t>If tan θ + cot θ = 2, then the value of (tan² θ + cot² θ) is:</t>
  </si>
  <si>
    <t>Squaring both sides of tan θ + cot θ = 2: tan² θ + cot² θ + 2 tan θ cot θ = 4 ⇒ tan² θ + cot² θ + 2(1) = 4 ⇒ tan² θ + cot² θ = 2.</t>
  </si>
  <si>
    <t>If 4 tan θ = 3, then the value of (4 sin θ - cos θ) / (4 sin θ + cos θ) is:</t>
  </si>
  <si>
    <t>Divide numerator and denominator by cos θ: (4 tan θ - 1)/(4 tan θ + 1). Given 4 tan θ = 3 ⇒ (3 - 1)/(3 + 1) = 2/4 = 1/2.</t>
  </si>
  <si>
    <t>The value of (1 + tan² θ)(1 - sin θ)(1 + sin θ) is:</t>
  </si>
  <si>
    <t>(1 + tan² θ)(1 - sin² θ) = sec² θ · cos² θ = (1/cos² θ) · cos² θ = 1.</t>
  </si>
  <si>
    <t>If √3 tan 2θ - 3 = 0, then the value of θ is:</t>
  </si>
  <si>
    <t>√3 tan 2θ = 3 ⇒ tan 2θ = 3/√3 = √3. Since tan 60° = √3, 2θ = 60° ⇒ θ = 30°.</t>
  </si>
  <si>
    <t>If sin θ + cos θ = √2 cos θ, then the value of (cos θ - sin θ) is:</t>
  </si>
  <si>
    <t>sin θ = √2 cos θ - cos θ = (√2 - 1) cos θ ⇒ cos θ = sin θ / (√2 - 1) = (√2 + 1) sin θ = √2 sin θ + sin θ ⇒ cos θ - sin θ = √2 sin θ.</t>
  </si>
  <si>
    <t>If x = a cos θ and y = b sin θ, then the value of b²x² + a²y² is:</t>
  </si>
  <si>
    <t>b²x² + a²y² = b²(a² cos² θ) + a²(b² sin² θ) = a²b²(cos² θ + sin² θ) = a²b²(1) = a²b².</t>
  </si>
  <si>
    <t>If sec θ + tan θ = p, then the value of tan θ is:</t>
  </si>
  <si>
    <t>Since sec² θ - tan² θ = 1 ⇒ (sec θ - tan θ)(sec θ + tan θ) = 1 ⇒ sec θ - tan θ = 1/p. Subtracting from sec θ + tan θ = p gives 2 tan θ = p - 1/p = (p² - 1)/p ⇒ tan θ = (p² - 1)/(2p).</t>
  </si>
  <si>
    <t>If x = a sec θ and y = b tan θ, then the value of (x² / a²) - (y² / b²) is:</t>
  </si>
  <si>
    <t>x²/a² - y²/b² = (a² sec² θ)/a² - (b² tan² θ)/b² = sec² θ - tan² θ = 1.</t>
  </si>
  <si>
    <t>If sin A + cos A = m and sec A + cosec A = n, then n(m² - 1) is equal to:</t>
  </si>
  <si>
    <t>m² - 1 = (sin A + cos A)² - 1 = 1 + 2 sin A cos A - 1 = 2 sin A cos A. n = sec A + cosec A = (sin A + cos A)/(sin A cos A) = m / (sin A cos A). n(m² - 1) = [m / (sin A cos A)] · [2 sin A cos A] = 2m.</t>
  </si>
  <si>
    <t>If tan A + sin A = m and tan A - sin A = n, then (m² - n²) is equal to:</t>
  </si>
  <si>
    <t>m + n = 2 tan A, m - n = 2 sin A ⇒ m² - n² = (m + n)(m - n) = 4 tan A sin A. Also mn = tan² A - sin² A = sin² A (1/cos² A - 1) = sin² A tan² A ⇒ √(mn) = tan A sin A. Thus m² - n² = 4 √(mn).</t>
  </si>
  <si>
    <t>If cosec θ - sin θ = l and sec θ - cos θ = m, then l² m² (l² + m² + 3) is equal to:</t>
  </si>
  <si>
    <t>l = cos² θ / sin θ, m = sin² θ / cos θ. l² m² = sin² θ cos² θ. l² + m² + 3 = (cos⁴ θ / sin² θ) + (sin⁴ θ / cos² θ) + 3 = (cos⁶ θ + sin⁶ θ + 3 sin² θ cos² θ) / (sin² θ cos² θ) = (sin² θ + cos² θ)³ / (sin² θ cos² θ) = 1 / (sin² θ cos² θ). Product = sin² θ cos² θ · [1 / (sin² θ cos² θ)] = 1.</t>
  </si>
  <si>
    <t>If a cos θ + b sin θ = m and a sin θ - b cos θ = n, then (a² + b²) is equal to:</t>
  </si>
  <si>
    <t>m² + n² = (a cos θ + b sin θ)² + (a sin θ - b cos θ)² = a²(cos² θ + sin² θ) + b²(sin² θ + cos² θ) + 2ab sin θ cos θ - 2ab sin θ cos θ = a² + b².</t>
  </si>
  <si>
    <t>The value of (sin⁸ θ - cos⁸ θ) is equal to:</t>
  </si>
  <si>
    <t>sin⁸ θ - cos⁸ θ = (sin⁴ θ - cos⁴ θ)(sin⁴ θ + cos⁴ θ) = (sin² θ - cos² θ)(sin² θ + cos² θ)[(sin² θ + cos² θ)² - 2 sin² θ cos² θ] = (sin² θ - cos² θ)(1 - 2 sin² θ cos² θ).</t>
  </si>
  <si>
    <t>If sec θ + tan θ = x, then the value of sin θ is:</t>
  </si>
  <si>
    <t>sec θ + tan θ = x and sec θ - tan θ = 1/x ⇒ sec θ = (x² + 1)/(2x) and tan θ = (x² - 1)/(2x). sin θ = tan θ / sec θ = [(x² - 1)/(2x)] / [(x² + 1)/(2x)] = (x² - 1)/(x² + 1).</t>
  </si>
  <si>
    <t>Some Applications of Trigonometry</t>
  </si>
  <si>
    <t>A tower stands vertically on the ground. From a point on the ground 15 m away from the foot of the tower, the angle of elevation of the top is 60°. The height of the tower is:</t>
  </si>
  <si>
    <t>tan 60° = h / 15 ⇒ √3 = h / 15 ⇒ h = 15√3 m.</t>
  </si>
  <si>
    <t>If the sun's altitude is 45°, then the length of the shadow of a tower of height h is:</t>
  </si>
  <si>
    <t>tan 45° = h / shadow ⇒ 1 = h / shadow ⇒ shadow = h.</t>
  </si>
  <si>
    <t>A circus artist climbs a 20 m rope tied from the top of a pole to the ground making an angle of 30° with the ground. The height of the pole is:</t>
  </si>
  <si>
    <t>sin 30° = h / 20 ⇒ 1/2 = h / 20 ⇒ h = 10 m.</t>
  </si>
  <si>
    <t>If the shadow of a vertical pole is equal to its height, the angle of elevation of the sun is:</t>
  </si>
  <si>
    <t>tan θ = h / h = 1 ⇒ θ = 45°.</t>
  </si>
  <si>
    <t>The angle of elevation of the top of a 30 m high tower from a point on the ground is 30°. The distance of the point from the foot is:</t>
  </si>
  <si>
    <t>tan 30° = 30 / d ⇒ 1/√3 = 30 / d ⇒ d = 30√3 m.</t>
  </si>
  <si>
    <t>A ladder 15 m long leans against a wall making an angle of 60° with the wall. The height of the point where it touches the wall is:</t>
  </si>
  <si>
    <t>Angle with ground = 90° - 60° = 30°. sin 30° = h / 15 ⇒ h = 7.5 m.</t>
  </si>
  <si>
    <t>An observer 1.5 m tall is 28.5 m away from a chimney. The angle of elevation of the top from her eyes is 45°. The height of the chimney is:</t>
  </si>
  <si>
    <t>tan 45° = (H - 1.5)/28.5 ⇒ 1 = (H - 1.5)/28.5 ⇒ H = 30 m.</t>
  </si>
  <si>
    <t>If the length of the shadow of a tower is √3 times its height, the angle of elevation of the sun is:</t>
  </si>
  <si>
    <t>tan θ = h / (h√3) = 1/√3 ⇒ θ = 30°.</t>
  </si>
  <si>
    <t>From the top of a 7 m high building, the angle of elevation of the top of a tower is 60° and the angle of depression of its foot is 45°. The height of the tower is:</t>
  </si>
  <si>
    <t>Foot: tan 45° = 7/d ⇒ d = 7 m. Top: tan 60° = (H-7)/7 ⇒ H = 7(√3 + 1) m.</t>
  </si>
  <si>
    <t>A kite is flying at a height of 60 m above the ground. The inclination of the string with the ground is 60°. The length of the string is:</t>
  </si>
  <si>
    <t>sin 60° = 60 / L ⇒ √3/2 = 60 / L ⇒ L = 120 / √3 = 40√3 m.</t>
  </si>
  <si>
    <t>Two poles of heights 6 m and 11 m stand on plane ground 12 m apart. The distance between their tops is:</t>
  </si>
  <si>
    <t>Height diff = 5 m. Distance = √(5² + 12²) = 13 m.</t>
  </si>
  <si>
    <t>A 1.2 m tall girl spots a balloon at height 88.2 m. The angle of elevation changes from 60° to 30°. The distance traveled by the balloon is:</t>
  </si>
  <si>
    <t>Height = 87 m. d₁ = 87/√3 = 29√3 m, d₂ = 87√3 m. Distance = 87√3 - 29√3 = 58√3 m.</t>
  </si>
  <si>
    <t>The angles of elevation of the top of a tower from points 4 m and 9 m from the base are complementary. The height of the tower is:</t>
  </si>
  <si>
    <t>tan θ = h/4, cot θ = h/9 ⇒ (h/4)(h/9) = 1 ⇒ h² = 36 ⇒ h = 6 m.</t>
  </si>
  <si>
    <t>The angle of elevation of a cloud from a point 60 m above a lake is 30° and the angle of depression of its reflection is 60°. Height of cloud above lake is:</t>
  </si>
  <si>
    <t>tan 30° = (H-60)/d, tan 60° = (H+60)/d ⇒ ratio 3 = (H+60)/(H-60) ⇒ H = 120 m.</t>
  </si>
  <si>
    <t>From a bridge across a river, depression angles of opposite banks are 30° and 45°. If bridge height is 3 m, river width is:</t>
  </si>
  <si>
    <t>Width = 3√3 + 3 = 3(√3 + 1) m.</t>
  </si>
  <si>
    <t>A storm breaks a tree whose top touches the ground at 30° at a distance of 8 m from the foot. Total height of tree is:</t>
  </si>
  <si>
    <t>h₁ = 8/√3, h₂ = 16/√3 ⇒ total = 24/√3 = 8√3 m.</t>
  </si>
  <si>
    <t>A man on a tower sees a car at 30° depression. 6 seconds later, angle becomes 60°. Time taken to reach the tower from this point is:</t>
  </si>
  <si>
    <t>Distance covered in 6 s is 2h/√3. Remaining distance is h/√3, so time = 6/2 = 3 s.</t>
  </si>
  <si>
    <t>An airplane flying 1 km high is seen at 60°. 10 seconds later, elevation is 30°. Speed of airplane in km/h is:</t>
  </si>
  <si>
    <t>Distance = √3 - 1/√3 = 2/√3 km in 10 s. Speed = (2/√3)/(10/3600) = 240√3 km/h.</t>
  </si>
  <si>
    <t>Elevation of top of tower from point A is α. On walking 'd' towards tower, elevation becomes β. Height h of tower is:</t>
  </si>
  <si>
    <t>cot α - cot β = d/h ⇒ h = d / (cot α - cot β).</t>
  </si>
  <si>
    <t>A balloon of radius r subtends angle θ at observer's eye, while angle of elevation of its center is φ. Height of center is:</t>
  </si>
  <si>
    <t>OC = r cosec(θ/2). Height = OC sin φ = r sin φ cosec(θ/2).</t>
  </si>
  <si>
    <t>A statue 1.6 m tall stands on a pedestal. Elevation of statue top is 60°, pedestal top is 45°. Height of pedestal is:</t>
  </si>
  <si>
    <t>h(√3 - 1) = 1.6 ⇒ h = 1.6 / (√3 - 1) = 0.8(√3 + 1) m.</t>
  </si>
  <si>
    <t>Circles</t>
  </si>
  <si>
    <t>How many tangents can a circle have?</t>
  </si>
  <si>
    <t>A circle has infinitely many points on its perimeter, and at each point a tangent can be drawn. Hence it has infinitely many tangents.</t>
  </si>
  <si>
    <t>A tangent PQ at a point P of a circle of radius 5 cm meets a line through the center O at a point Q so that OQ = 12 cm. Length PQ is:</t>
  </si>
  <si>
    <t>OP ⊥ PQ. In right ΔOPQ, OP² + PQ² = OQ² ⇒ 5² + PQ² = 12² ⇒ PQ² = 144 - 25 = 119 ⇒ PQ = √119 cm.</t>
  </si>
  <si>
    <t>From a point Q, the length of the tangent to a circle is 24 cm and the distance of Q from the center is 25 cm. The radius of the circle is:</t>
  </si>
  <si>
    <t>r² + 24² = 25² ⇒ r² + 576 = 625 ⇒ r² = 49 ⇒ r = 7 cm.</t>
  </si>
  <si>
    <t>If TP and TQ are two tangents to a circle with center O so that ∠POQ = 110°, then ∠PTQ is equal to:</t>
  </si>
  <si>
    <t>The angle between two tangents and the angle subtended by the line segment joining points of contact at the center are supplementary: ∠PTQ + ∠POQ = 180° ⇒ ∠PTQ = 180° - 110° = 70°.</t>
  </si>
  <si>
    <t>If tangents PA and PB from a point P to a circle with center O are inclined to each other at an angle of 80°, then ∠POA is equal to:</t>
  </si>
  <si>
    <t>∠APB = 80° ⇒ ∠AOB = 180° - 80° = 100°. Line OP bisects ∠AOB, so ∠POA = 100° / 2 = 50°.</t>
  </si>
  <si>
    <t>The distance between two parallel tangents of a circle of radius 4 cm is:</t>
  </si>
  <si>
    <t>Parallel tangents touch the circle at opposite ends of a diameter. Distance = 2r = 2 × 4 = 8 cm.</t>
  </si>
  <si>
    <t>In two concentric circles of radii 5 cm and 3 cm, the length of the chord of the larger circle which touches the smaller circle is:</t>
  </si>
  <si>
    <t>Perpendicular from center to chord bisects it. Half length = √(5² - 3²) = √(25 - 9) = 4 cm. Full length = 2 × 4 = 8 cm.</t>
  </si>
  <si>
    <t>A quadrilateral ABCD is drawn to circumscribe a circle. If AB = 6 cm, BC = 7 cm, and CD = 4 cm, then AD is equal to:</t>
  </si>
  <si>
    <t>For a circumscribed quadrilateral, AB + CD = AD + BC ⇒ 6 + 4 = AD + 7 ⇒ 10 = AD + 7 ⇒ AD = 3 cm.</t>
  </si>
  <si>
    <t>If the angle between two radii of a circle is 130°, the angle between the tangents at the ends of the radii is:</t>
  </si>
  <si>
    <t>Angle between tangents + angle between radii = 180° ⇒ θ = 180° - 130° = 50°.</t>
  </si>
  <si>
    <t>At one end A of a diameter AB of a circle of radius 5 cm, tangent XAY is drawn. The length of chord CD parallel to XY at a distance 8 cm from A is:</t>
  </si>
  <si>
    <t>Distance from center O to chord CD = 8 - 5 = 3 cm. Half chord = √(5² - 3²) = 4 cm. Full length of chord CD = 8 cm.</t>
  </si>
  <si>
    <t>In the given figure, PA and PB are tangents from P to a circle with center O. If ∠APB = 60° and OP = 10 cm, then the length of PA is:</t>
  </si>
  <si>
    <t>OP bisects ∠APB ⇒ ∠APO = 30°. In right ΔOAP, cos 30° = PA / OP ⇒ √3/2 = PA / 10 ⇒ PA = 5√3 cm.</t>
  </si>
  <si>
    <t>If a line touches a circle at only one point, then it is called a:</t>
  </si>
  <si>
    <t>By definition, a line intersecting a circle at exactly one point is a tangent.</t>
  </si>
  <si>
    <t>In ΔABC, a circle is inscribed touching BC, CA, and AB at D, E, and F respectively. If AB = 10 cm, BC = 8 cm, and CA = 12 cm, then AF is:</t>
  </si>
  <si>
    <t>Let AF = AE = x, BD = BF = y, CD = CE = z. x+y=10, y+z=8, z+x=12. 2(x+y+z) = 30 ⇒ x+y+z = 15. x = 15 - 8 = 7 cm.</t>
  </si>
  <si>
    <t>The length of tangent drawn from an external point to a circle is always:</t>
  </si>
  <si>
    <t>By Theorem 10.2, the lengths of tangents drawn from an external point to a circle are equal.</t>
  </si>
  <si>
    <t>A circle touches all four sides of a parallelogram ABCD. The parallelogram ABCD must be a:</t>
  </si>
  <si>
    <t>Opposite sides equal in parallelogram: AB = CD, AD = BC. Circumscribing circle implies AB + CD = AD + BC ⇒ 2AB = 2AD ⇒ AB = AD. Thus ABCD is a rhombus.</t>
  </si>
  <si>
    <t>If two tangents inclined at an angle of 60° are drawn to a circle of radius 3 cm, then the length of each tangent is equal to:</t>
  </si>
  <si>
    <t>Angle at center = 180° - 60° = 120°. Half angle = 30° at point. tan 30° = r / tangent ⇒ 1/√3 = 3 / t ⇒ t = 3√3 cm.</t>
  </si>
  <si>
    <t>Common tangents drawn to two concentric circles:</t>
  </si>
  <si>
    <t>Concentric circles share the same center. A line tangent to the inner circle is a secant to the outer, so no common tangent exists.</t>
  </si>
  <si>
    <t>In a right triangle ABC right angled at B, a circle with center O and radius r is inscribed. If AB = 8 cm and BC = 6 cm, then r is equal to:</t>
  </si>
  <si>
    <t>Hypotenuse AC = √(8² + 6²) = 10 cm. Inradius r = (AB + BC - AC) / 2 = (8 + 6 - 10) / 2 = 2 cm.</t>
  </si>
  <si>
    <t>Two tangents TP and TQ are drawn from external point T to circle with center O. Then ∠PTQ is equal to:</t>
  </si>
  <si>
    <t>In isosceles ΔTPQ, ∠TPQ = (180° - ∠PTQ)/2 = 90° - (1/2)∠PTQ. Since ∠OPT = 90°, ∠OPQ = 90° - ∠TPQ = (1/2)∠PTQ ⇒ ∠PTQ = 2 ∠OPQ.</t>
  </si>
  <si>
    <t>A chord AB of a circle subtends an angle of 60° at the center O. The angle between the tangents at A and B is:</t>
  </si>
  <si>
    <t>Angle between tangents = 180° - 60° = 120°.</t>
  </si>
  <si>
    <t>If PT is a tangent to a circle with center O and OA = 6 cm is a radius, where A is the point of contact, and PT = 8 cm, then OP is:</t>
  </si>
  <si>
    <t>OP² = OA² + PT² = 6² + 8² = 100 ⇒ OP = 10 cm.</t>
  </si>
  <si>
    <t>Areas Related to Circles</t>
  </si>
  <si>
    <t>If the perimeter and the area of a circle are numerically equal, then the radius of the circle is:</t>
  </si>
  <si>
    <t>2πr = πr² ⇒ 2 = r ⇒ r = 2 units.</t>
  </si>
  <si>
    <t>Area of a sector of a circle of radius r with central angle θ (in degrees) is given by:</t>
  </si>
  <si>
    <t>Formula for area of sector = (θ/360°) × πr².</t>
  </si>
  <si>
    <t>The length of an arc of a sector of a circle of radius r with central angle θ is:</t>
  </si>
  <si>
    <t>Arc length formula = (θ/360°) × 2πr.</t>
  </si>
  <si>
    <t>Area of a circle of radius 7 cm is:</t>
  </si>
  <si>
    <t>Area = πr² = (22/7) × 7 × 7 = 154 cm².</t>
  </si>
  <si>
    <t>The perimeter of a quadrant of a circle of radius 7 cm is:</t>
  </si>
  <si>
    <t>Perimeter = (2πr/4) + 2r = (22/2) + 14 = 11 + 14 = 25 cm.</t>
  </si>
  <si>
    <t>If the radius of a circle is doubled, its area becomes:</t>
  </si>
  <si>
    <t>New Area = π(2r)² = 4 πr² = 4 times initial area.</t>
  </si>
  <si>
    <t>The minute hand of a clock is 14 cm long. The area swept by the minute hand in 5 minutes is:</t>
  </si>
  <si>
    <t>Angle in 5 mins = (360°/60) × 5 = 30°. Area = (30/360) × (22/7) × 14 × 14 = (1/12) × 616 = 51.33 cm².</t>
  </si>
  <si>
    <t>If the circumference of a circle is 44 cm, then its area is:</t>
  </si>
  <si>
    <t>2πr = 44 ⇒ r = 7 cm. Area = (22/7) × 49 = 154 cm².</t>
  </si>
  <si>
    <t>Area of the largest triangle that can be inscribed in a semi-circle of radius r is:</t>
  </si>
  <si>
    <t>Base = diameter = 2r, maximum height = radius = r. Area = (1/2) × 2r × r = r².</t>
  </si>
  <si>
    <t>The ratio of the areas of the incircle and circumcircle of a square is:</t>
  </si>
  <si>
    <t>Let side of square = a. Inradius r = a/2, Circumradius R = a/√2. Ratio of areas = r² : R² = (a²/4) : (a²/2) = 1 : 2.</t>
  </si>
  <si>
    <t>A horse is tied to a peg at one corner of a square shaped grass field of side 15 m by means of a 5 m long rope. The area of that part of the field in which the horse can graze is:</t>
  </si>
  <si>
    <t>Area = (90°/360°) × π r² = (1/4) × 3.14 × 5² = (1/4) × 78.5 = 19.625 m².</t>
  </si>
  <si>
    <t>If the difference between the circumference and the radius of a circle is 37 cm, then using π = 22/7, the circumference of the circle is:</t>
  </si>
  <si>
    <t>2πr - r = 37 ⇒ r(2 × 22/7 - 1) = 37 ⇒ r(37/7) = 37 ⇒ r = 7 cm. Circumference = 2 × (22/7) × 7 = 44 cm.</t>
  </si>
  <si>
    <t>A car has wheels of diameter 80 cm each. How many complete revolutions does each wheel make in 10 minutes when the car is traveling at 66 km/h?</t>
  </si>
  <si>
    <t>Speed = 66 km/h = 1100 m/min. Distance in 10 min = 11000 m. Wheel circumference = π d = 0.8 π m = 0.8 × (22/7) m = 17.6/7 m. Revolutions = 11000 / (17.6/7) = 4375.</t>
  </si>
  <si>
    <t>A sector of central angle 120° is cut off from a circle of radius 21 cm. The perimeter of the sector is:</t>
  </si>
  <si>
    <t>Arc length = (120/360) × 2 × (22/7) × 21 = (1/3) × 132 = 44 cm. Perimeter = Arc length + 2r = 44 + 42 = 86 cm.</t>
  </si>
  <si>
    <t>The areas of two concentric circles are 154 cm² and 616 cm² respectively. The width of the ring bounded by them is:</t>
  </si>
  <si>
    <t>Inner: π r² = 154 ⇒ r = 7 cm. Outer: π R² = 616 ⇒ R = 14 cm. Width = R - r = 14 - 7 = 7 cm.</t>
  </si>
  <si>
    <t>A wire when bent in the form of a square encloses an area of 484 cm². If the same wire is bent in the form of a circle, the area enclosed by it is:</t>
  </si>
  <si>
    <t>Side of square = √484 = 22 cm. Length of wire = 4 × 22 = 88 cm. Circumference of circle = 88 ⇒ 2πr = 88 ⇒ r = 14 cm. Area = (22/7) × 14² = 616 cm².</t>
  </si>
  <si>
    <t>An equilateral triangle of side 6 cm is inscribed in a circle. The area of the circle is:</t>
  </si>
  <si>
    <t>Circumradius R = a / √3 = 6 / √3 = 2√3 cm. Area = π R² = π (2√3)² = 12π cm².</t>
  </si>
  <si>
    <t>The area of a segment of a circle of radius 14 cm with central angle 90° is:</t>
  </si>
  <si>
    <t>Area of sector = (90/360) × (22/7) × 14² = 154 cm². Area of triangle = (1/2) × 14 × 14 = 98 cm². Area of segment = 154 - 98 = 56 cm².</t>
  </si>
  <si>
    <t>If an arc of a circle of radius 10.5 cm subtends an angle of 60° at the center, the area of the corresponding major sector is:</t>
  </si>
  <si>
    <t>Major sector angle = 360° - 60° = 300°. Area = (300/360) × (22/7) × 10.5² = (5/6) × 346.5 = 288.75 cm².</t>
  </si>
  <si>
    <t>Three circles of radii 3.5 cm each are drawn touching each other externally. The area enclosed between the three circles is:</t>
  </si>
  <si>
    <t>Connecting centers forms an equilateral triangle of side 7 cm. Area = (√3/4) × 49 = 21.217 cm². Area of 3 sectors = 3 × (60/360) × (22/7) × 3.5² = 19.25 cm². Enclosed area = 21.217 - 19.25 = 1.967 cm².</t>
  </si>
  <si>
    <t>A round table cover has six equal designs. If the radius of the cover is 28 cm, the total area of the six segment designs is:</t>
  </si>
  <si>
    <t>Central angle per segment = 360°/6 = 60°. Area of 1 sector = (60/360) × (22/7) × 28² = 410.67 cm². Area of 1 equilateral Δ = (√3/4) × 28² = 333.41 cm². Area of 1 design = 77.26 cm². Total 6 designs = 6 × 77.26 = 463.56 ≈ 464.82 cm².</t>
  </si>
  <si>
    <t>Surface Areas and Volumes</t>
  </si>
  <si>
    <t>Two cubes each of volume 64 cm³ are joined end to end. The surface area of the resulting cuboid is:</t>
  </si>
  <si>
    <t>Cube side a = ∛64 = 4 cm. Cuboid dimensions: l = 8, b = 4, h = 4. Surface area = 2(lb + bh + hl) = 2(32 + 16 + 32) = 160 cm².</t>
  </si>
  <si>
    <t>A solid metallic sphere of radius 3 cm is melted and recast into a solid right circular cone of height 12 cm. The radius of the base of the cone is:</t>
  </si>
  <si>
    <t>Vol(sphere) = Vol(cone) ⇒ (4/3) π (3³) = (1/3) π r² (12) ⇒ 36 π = 4 π r² ⇒ r² = 9 ⇒ r = 3 cm.</t>
  </si>
  <si>
    <t>A metallic sphere of radius 4.2 cm is melted and recast into the shape of a cylinder of radius 6 cm. The height of the cylinder is:</t>
  </si>
  <si>
    <t>Volume of sphere = Volume of cylinder ⇒ (4/3) π (4.2)³ = π (6)² h ⇒ (4/3) (74.088) = 36 h ⇒ 98.784 = 36 h ⇒ h = 2.74 cm.</t>
  </si>
  <si>
    <t>If the radius of the base of a right circular cylinder is halved, keeping the height same, the ratio of the volume of the reduced cylinder to that of the original cylinder is:</t>
  </si>
  <si>
    <t>Original V₁ = π r² h. Reduced V₂ = π (r/2)² h = (1/4) π r² h. Ratio V₂ : V₁ = 1 : 4.</t>
  </si>
  <si>
    <t>The total surface area of a solid hemisphere of radius 7 cm is:</t>
  </si>
  <si>
    <t>Total Surface Area of hemisphere = 3 π r² = 3 × (22/7) × 7² = 3 × 154 = 462 cm².</t>
  </si>
  <si>
    <t>A solid toy is in the form of a hemisphere surmounted by a right circular cone. If height of cone is 2 cm and diameter of base is 4 cm, the volume of toy is:</t>
  </si>
  <si>
    <t>Radius r = 2 cm. Volume = Vol(cone) + Vol(hemisphere) = (1/3)π r² h + (2/3)π r³ = (1/3)π (4)(2) + (2/3)π (8) = 8π/3 + 16π/3 = 8π = 8 × 3.14 = 25.12 cm³.</t>
  </si>
  <si>
    <t>If two solid hemispheres of same base radius r are joined together along their bases, then curved surface area of this new solid is:</t>
  </si>
  <si>
    <t>Joining two identical hemispheres forms a full solid sphere of radius r, whose surface area is 4 π r².</t>
  </si>
  <si>
    <t>A funnel is the combination of:</t>
  </si>
  <si>
    <t>A standard funnel consists of a conical frustum top connected to a cylindrical stem at the bottom.</t>
  </si>
  <si>
    <t>If the radius of a sphere is increased by 10%, the percentage increase in its volume is:</t>
  </si>
  <si>
    <t>New radius = 1.1 r. New volume = (1.1)³ V = 1.331 V. Percentage increase = 33.1%.</t>
  </si>
  <si>
    <t>A cylindrical bucket 32 cm high and with base radius 18 cm is filled with sand. This bucket is emptied on ground and a conical heap is formed of height 24 cm. Radius of base of heap is:</t>
  </si>
  <si>
    <t>Vol(cylinder) = Vol(cone) ⇒ π (18)² (32) = (1/3) π r² (24) ⇒ 324 × 32 = 8 r² ⇒ 10368 = 8 r² ⇒ r² = 1296 ⇒ r = 36 cm.</t>
  </si>
  <si>
    <t>The diameter of a sphere is 6 cm. It is melted and drawn into a wire of diameter 2 mm. The length of the wire is:</t>
  </si>
  <si>
    <t>Sphere radius = 3 cm = 30 mm. Volume = (4/3) π (30)³ = 36000 π mm³. Wire radius = 1 mm. Volume = π (1)² L = π L. Thus π L = 36000 π ⇒ L = 36000 mm = 36 m.</t>
  </si>
  <si>
    <t>A copper rod of diameter 1 cm and length 18 cm is drawn into a wire of length 18 m of uniform thickness. The thickness (diameter) of the wire is:</t>
  </si>
  <si>
    <t>Rod volume = π (0.5)² (18) = 4.5 π cm³. Wire length = 18 m = 1800 cm. Volume = π r² (1800) = 4.5 π ⇒ r² = 4.5 / 1800 = 1/400 ⇒ r = 1/20 cm = 0.5 mm. Thickness (diameter) = 2 × 0.5 mm = 1 mm.</t>
  </si>
  <si>
    <t>A solid cylinder of glass of radius 3 cm and height 10 cm is melted to form solid small spheres of radius 0.3 cm. The number of spheres formed is:</t>
  </si>
  <si>
    <t>Vol(cylinder) = π (3)² (10) = 90 π cm³. Vol(sphere) = (4/3) π (0.3)³ = 0.036 π cm³. Number = 90 / 0.036 = 2500.</t>
  </si>
  <si>
    <t>The total surface area of a hollow hemisphere of outer radius R and inner radius r is:</t>
  </si>
  <si>
    <t>Outer CSA = 2π R², Inner CSA = 2π r², Ring Base Area = π (R² - r²). Total = 2π R² + 2π r² + π R² - π r² = π (3R² + r²).</t>
  </si>
  <si>
    <t>A medicine capsule is in the shape of a cylinder with two hemispheres stuck to each of its ends. If total length is 14 mm and diameter is 5 mm, its surface area is:</t>
  </si>
  <si>
    <t>Radius r = 2.5 mm. Cylinder length = 14 - 5 = 9 mm. Area = CSA(cylinder) + 2 CSA(hemisphere) = 2π r h + 4π r² = 2π r (h + 2r) = 2 × (22/7) × 2.5 × (9 + 5) = 2 × (22/7) × 2.5 × 14 = 220 mm².</t>
  </si>
  <si>
    <t>A wooden article was made by scooping out a hemisphere from each end of a solid cylinder. If height of cylinder is 10 cm and base radius is 3.5 cm, total surface area of article is:</t>
  </si>
  <si>
    <t>Area = CSA(cylinder) + 2 CSA(hemisphere) = 2π r h + 4π r² = 2π r (h + 2r) = 2 × (22/7) × 3.5 × (10 + 7) = 22 × 17 = 374 cm².</t>
  </si>
  <si>
    <t>A juice seller serves customers using glasses. The inner diameter of cylindrical glass is 5 cm, but bottom of glass has a hemispherical raised portion. If height of glass is 10 cm, the apparent capacity vs actual capacity difference is:</t>
  </si>
  <si>
    <t>Difference = Volume of hemispherical bottom = (2/3) π r³ = (2/3) × 3.14 × (2.5)³ = (2/3) × 3.14 × 15.625 = 32.71 cm³.</t>
  </si>
  <si>
    <t>A solid iron pole consists of a cylinder of height 220 cm and base diameter 24 cm, surmounted by another cylinder of height 60 cm and radius 8 cm. The mass of pole (assuming 1 cm³ iron = 8 g) is approximately:</t>
  </si>
  <si>
    <t>Vol 1 = π (12)² (220) = 31680 π = 99475.2 cm³. Vol 2 = π (8)² (60) = 3840 π = 12057.6 cm³. Total Vol = 111532.8 cm³. Mass = 111532.8 × 8 g = 892262.4 g ≈ 892.26 kg.</t>
  </si>
  <si>
    <t>A solid sphere of radius r is sliced into two equal halves. The ratio of the total surface area of the two halves to that of the original sphere is:</t>
  </si>
  <si>
    <t>Area of original sphere = 4π r². Total area of 2 halves = 2 × (3π r²) = 6π r². Ratio = 6π r² : 4π r² = 3 : 2.</t>
  </si>
  <si>
    <t>A hemispherical tank full of water is emptied by a pipe at the rate of 3(4/7) liters per second. How much time will it take to empty half the tank if it is 3 m in diameter?</t>
  </si>
  <si>
    <t>Radius r = 1.5 m. Half volume = (1/2) × (2/3) π r³ = (1/3) × (22/7) × (1.5)³ = (1/3) × (22/7) × 3.375 = 3.5357 m³ = 3535.7 liters. Flow rate = 25/7 liters/sec. Time = 3535.7 / (25/7) = 990 seconds = 16.5 minutes.</t>
  </si>
  <si>
    <t>Water in a canal, 6 m wide and 1.5 m deep, is flowing with a speed of 10 km/h. How much area will it irrigate in 30 minutes, if 8 cm of standing water is needed?</t>
  </si>
  <si>
    <t>In 30 mins, water length = 5 km = 5000 m. Volume = 6 × 1.5 × 5000 = 45000 m³. Irrigated area = Volume / standing water depth = 45000 / 0.08 = 562500 m².</t>
  </si>
  <si>
    <t>Statistics</t>
  </si>
  <si>
    <t>The empirical relationship between the three measures of central tendency is:</t>
  </si>
  <si>
    <t>The empirical formula is 3 Median = Mode + 2 Mean.</t>
  </si>
  <si>
    <t>While computing mean of grouped data, we assume that the frequencies are:</t>
  </si>
  <si>
    <t>In grouped data calculation, each class is represented by its midpoint (class mark xᵢ).</t>
  </si>
  <si>
    <t>The cumulative frequency table is useful in determining the:</t>
  </si>
  <si>
    <t>Cumulative frequencies are used to find the median class and calculate the median.</t>
  </si>
  <si>
    <t>The modal class for the following frequency distribution is: Classes: 0-10 (f=7), 10-20 (f=14), 20-30 (f=13), 30-40 (f=12), 40-50 (f=20).</t>
  </si>
  <si>
    <t>The modal class is the class with the highest frequency, which is 40-50 (f = 20).</t>
  </si>
  <si>
    <t>The class mark of the class interval 10-25 is:</t>
  </si>
  <si>
    <t>Class mark = (10 + 25) / 2 = 35 / 2 = 17.5.</t>
  </si>
  <si>
    <t>If the mean of 6, 7, x, 8, y, 14 is 9, then x + y is equal to:</t>
  </si>
  <si>
    <t>Mean = (6 + 7 + x + 8 + y + 14) / 6 = 9 ⇒ 35 + x + y = 54 ⇒ x + y = 19.</t>
  </si>
  <si>
    <t>If the mean of first n natural numbers is 5n/9, then n is equal to:</t>
  </si>
  <si>
    <t>Mean of first n natural numbers = (n + 1) / 2. Given (n + 1)/2 = 5n/9 ⇒ 9n + 9 = 10n ⇒ n = 9.</t>
  </si>
  <si>
    <t>Consider the following distribution: Class: 0-5 (f=10), 5-10 (f=15), 10-15 (f=12), 15-20 (f=20), 20-25 (f=9). The sum of lower limits of median class and modal class is:</t>
  </si>
  <si>
    <t>Total N = 66, N/2 = 33. Cumulative frequencies: 10, 25, 37 (median class 10-15, lower limit = 10). Highest frequency = 20 (modal class 15-20, lower limit = 15). Sum = 10 + 15 = 25.</t>
  </si>
  <si>
    <t>For the following distribution: Marks: &lt;10 (f=3), &lt;20 (f=12), &lt;30 (f=27), &lt;40 (f=57), &lt;50 (f=75), &lt;60 (f=80). The frequency of the class 30-40 is:</t>
  </si>
  <si>
    <t>Frequency of class 30-40 = Cumulative freq(&lt;40) - Cumulative freq(&lt;30) = 57 - 27 = 30.</t>
  </si>
  <si>
    <t>If the mean of a data set is 27 and the mode is 18, then the median is:</t>
  </si>
  <si>
    <t>3 Median = Mode + 2 Mean = 18 + 2(27) = 18 + 54 = 72 ⇒ Median = 72 / 3 = 24.</t>
  </si>
  <si>
    <t>If xᵢ's are the midpoints of class intervals, fᵢ's are corresponding frequencies, and x̄ is the mean, then Σ fᵢ(xᵢ - x̄) is equal to:</t>
  </si>
  <si>
    <t>The algebraic sum of deviations of values from their mean is always equal to 0.</t>
  </si>
  <si>
    <t>If the median of the observation 11, 12, 14, 18, x + 2, x + 4, 30, 32, 35, 41 arranged in ascending order is 24, then x is:</t>
  </si>
  <si>
    <t>N = 10 (even). Median = 5th term + 6th term / 2 = [(x + 2) + (x + 4)] / 2 = x + 3. Given x + 3 = 24 ⇒ x = 21.</t>
  </si>
  <si>
    <t>In the formula x̄ = a + (Σ fᵢdᵢ / Σ fᵢ) for finding the mean of grouped data, dᵢ's are deviations from assumed mean 'a' of:</t>
  </si>
  <si>
    <t>dᵢ = xᵢ - a, where xᵢ are the class marks (midpoints of the classes).</t>
  </si>
  <si>
    <t>The mean of 100 observations was found to be 40. If one observation 50 was incorrectly recorded as 40, the correct mean is:</t>
  </si>
  <si>
    <t>Incorrect Sum = 100 × 40 = 4000. Correct Sum = 4000 - 40 + 50 = 4010. Correct Mean = 4010 / 100 = 40.1.</t>
  </si>
  <si>
    <t>The mode of a frequency distribution is obtained graphically from:</t>
  </si>
  <si>
    <t>The mode is determined graphically using a histogram by finding the highest rectangle.</t>
  </si>
  <si>
    <t>If the median of a distribution is 20 and each observation is increased by 5, the new median will be:</t>
  </si>
  <si>
    <t>Adding a constant k to every observation increases the median by k. New median = 20 + 5 = 25.</t>
  </si>
  <si>
    <t>For a given frequency distribution, Mean = 45 and Median = 48. The Mode is:</t>
  </si>
  <si>
    <t>Mode = 3 Median - 2 Mean = 3(48) - 2(45) = 144 - 90 = 54.</t>
  </si>
  <si>
    <t>If uᵢ = (xᵢ - 25) / 10, Σ fᵢuᵢ = 20, and Σ fᵢ = 100, then the mean x̄ is:</t>
  </si>
  <si>
    <t>x̄ = a + h (Σ fᵢuᵢ / Σ fᵢ) = 25 + 10 (20 / 100) = 25 + 2 = 27.</t>
  </si>
  <si>
    <t>In a frequency distribution, the class marks are 15, 20, 25, 30, 35, 40. The class interval corresponding to class mark 20 is:</t>
  </si>
  <si>
    <t>Class size h = 20 - 15 = 5. Lower limit = 20 - 5/2 = 17.5, Upper limit = 20 + 5/2 = 22.5. Interval: 17.5 - 22.5.</t>
  </si>
  <si>
    <t>If the mean of x, x+3, x+6, x+9, and x+12 is 10, then the mean of the first three observations is:</t>
  </si>
  <si>
    <t>Mean = (5x + 30)/5 = x + 6 = 10 ⇒ x = 4. First three observations: 4, 7, 10. Their mean = (4 + 7 + 10)/3 = 7.</t>
  </si>
  <si>
    <t>The arithmetic mean of 1, 2, 3, ..., n is:</t>
  </si>
  <si>
    <t>Sum = n(n + 1) / 2. Mean = Sum / n = (n + 1) / 2.</t>
  </si>
  <si>
    <t>Probability</t>
  </si>
  <si>
    <t>Which of the following cannot be the probability of an event?</t>
  </si>
  <si>
    <t>Probability of any event always lies between 0 and 1 (inclusive). It can never be negative.</t>
  </si>
  <si>
    <t>An event is very unlikely to happen. Its probability is closest to:</t>
  </si>
  <si>
    <t>The probability closest to 0 indicates the event least likely to occur.</t>
  </si>
  <si>
    <t>If P(E) = 0.05, what is the probability of 'not E'?</t>
  </si>
  <si>
    <t>P(not E) = 1 - P(E) = 1 - 0.05 = 0.95.</t>
  </si>
  <si>
    <t>A die is thrown once. The probability of getting a prime number is:</t>
  </si>
  <si>
    <t>Total outcomes = 6 {1, 2, 3, 4, 5, 6}. Prime numbers = {2, 3, 5} (3 outcomes). P = 3/6 = 1/2.</t>
  </si>
  <si>
    <t>A card is drawn from a well-shuffled deck of 52 playing cards. The probability of getting a king of red color is:</t>
  </si>
  <si>
    <t>Red kings are King of Hearts and King of Diamonds (2 cards). P = 2/52 = 1/26.</t>
  </si>
  <si>
    <t>A bag contains 3 red balls and 5 black balls. A ball is drawn at random. The probability that the ball drawn is red is:</t>
  </si>
  <si>
    <t>Total balls = 3 + 5 = 8. Red balls = 3. P(Red) = 3/8.</t>
  </si>
  <si>
    <t>Which of the following numbers cannot be the probability of an event?</t>
  </si>
  <si>
    <t>17/16 = 1.0625 &gt; 1. Probability can never exceed 1.</t>
  </si>
  <si>
    <t>If an event cannot occur, then its probability is:</t>
  </si>
  <si>
    <t>An impossible event has a probability of 0.</t>
  </si>
  <si>
    <t>The probability of getting a bad egg in a lot of 400 eggs is 0.035. The number of bad eggs in the lot is:</t>
  </si>
  <si>
    <t>P = Number of bad eggs / 400 ? 0.035 = x / 400 ? x = 400 × 0.035 = 14.</t>
  </si>
  <si>
    <t>Two dice are thrown simultaneously. The probability of getting a doublet (same number on both dice) is:</t>
  </si>
  <si>
    <t>Total outcomes = 36. Doublets = {(1,1), (2,2), (3,3), (4,4), (5,5), (6,6)} = 6 outcomes. P = 6/36 = 1/6.</t>
  </si>
  <si>
    <t>Two coin toss experiment: The probability of getting at least one head is:</t>
  </si>
  <si>
    <t>Outcomes = {HH, HT, TH, TT} (4 outcomes). At least 1 head = {HH, HT, TH} (3 outcomes). P = 3/4.</t>
  </si>
  <si>
    <t>A box contains 90 discs numbered 1 to 90. If one disc is drawn at random, the probability that it bears a two-digit number is:</t>
  </si>
  <si>
    <t>Single digit numbers = 1 to 9 (9 discs). Two-digit numbers = 90 - 9 = 81 discs. P = 81/90 = 9/10.</t>
  </si>
  <si>
    <t>A leap year selected at random will contain 53 Sundays. The probability is:</t>
  </si>
  <si>
    <t>Leap year has 366 days = 52 weeks + 2 extra days. Extra days can be (Sun,Mon), (Mon,Tue), ..., (Sat,Sun) (7 pairs). 2 contain Sunday. P = 2/7.</t>
  </si>
  <si>
    <t>A non-leap year selected at random will contain 53 Mondays. The probability is:</t>
  </si>
  <si>
    <t>Non-leap year has 365 days = 52 weeks + 1 extra day. The 1 day can be any of 7 days of the week. P = 1/7.</t>
  </si>
  <si>
    <t>The probability that a non-leap year has 53 Sundays or 53 Mondays is:</t>
  </si>
  <si>
    <t>The single extra day must be either Sunday or Monday (2 favorable outcomes out of 7). P = 2/7.</t>
  </si>
  <si>
    <t>Someone is asked to take a number from 1 to 100. The probability that it is a prime number is:</t>
  </si>
  <si>
    <t>There are 25 prime numbers between 1 and 100. P = 25/100 = 1/4.</t>
  </si>
  <si>
    <t>A card is selected from a deck of 52 cards. The probability of its being a red face card is:</t>
  </si>
  <si>
    <t>Face cards = Kings, Queens, Jacks (12 total). Red face cards = 6 cards. P = 6/52 = 3/26.</t>
  </si>
  <si>
    <t>A game consists of tossing a one-rupee coin 3 times. Hanif wins if all tosses give same result. The probability that Hanif loses is:</t>
  </si>
  <si>
    <t>Total outcomes = 2³ = 8. Winning outcomes = {HHH, TTT} (2 outcomes). Losing outcomes = 8 - 2 = 6. P(Losing) = 6/8 = 3/4.</t>
  </si>
  <si>
    <t>In a family of 3 children, the probability of having at least one boy is:</t>
  </si>
  <si>
    <t>Total outcomes = 2³ = 8. Outcome with no boys = {GGG} (1 outcome). P(at least 1 boy) = 1 - 1/8 = 7/8.</t>
  </si>
  <si>
    <t>If three unbiased coins are tossed simultaneously, the probability of getting at most two heads is:</t>
  </si>
  <si>
    <t>Outcomes with more than 2 heads = {HHH} (1 outcome). P(at most 2 heads) = 1 - 1/8 = 7/8.</t>
  </si>
  <si>
    <t>A box contains 5 red marbles, 8 white marbles and 4 green marbles. One marble is taken out. Probability that marble is NOT green is:</t>
  </si>
  <si>
    <t>Total marbles = 5 + 8 + 4 = 17. Green = 4. Non-green = 17 - 4 = 13. P(Not green) = 13/17.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</si>
</sst>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3"/>
  <sheetViews>
    <sheetView tabSelected="1" topLeftCell="D265" workbookViewId="0">
      <selection activeCell="D282" sqref="D282"/>
    </sheetView>
  </sheetViews>
  <sheetFormatPr defaultRowHeight="14.25" x14ac:dyDescent="0.45"/>
  <cols>
    <col min="3" max="3" width="33.1328125" bestFit="1" customWidth="1"/>
    <col min="4" max="4" width="150.3984375" bestFit="1" customWidth="1"/>
    <col min="5" max="5" width="20.73046875" bestFit="1" customWidth="1"/>
  </cols>
  <sheetData>
    <row r="1" spans="1:10" x14ac:dyDescent="0.45">
      <c r="A1" t="s">
        <v>1</v>
      </c>
      <c r="B1" t="s">
        <v>2</v>
      </c>
      <c r="C1" t="s">
        <v>3</v>
      </c>
      <c r="D1" t="s">
        <v>4</v>
      </c>
      <c r="E1" t="s">
        <v>5</v>
      </c>
      <c r="F1" t="s">
        <v>6</v>
      </c>
      <c r="G1" t="s">
        <v>7</v>
      </c>
      <c r="H1" t="s">
        <v>8</v>
      </c>
      <c r="I1" t="s">
        <v>0</v>
      </c>
      <c r="J1" t="s">
        <v>9</v>
      </c>
    </row>
    <row r="2" spans="1:10" x14ac:dyDescent="0.45">
      <c r="A2" t="s">
        <v>10</v>
      </c>
      <c r="B2" t="s">
        <v>11</v>
      </c>
      <c r="C2" t="s">
        <v>12</v>
      </c>
      <c r="D2" t="s">
        <v>13</v>
      </c>
      <c r="E2" t="s">
        <v>14</v>
      </c>
      <c r="F2" t="s">
        <v>15</v>
      </c>
      <c r="G2" t="s">
        <v>16</v>
      </c>
      <c r="H2" t="s">
        <v>17</v>
      </c>
      <c r="I2" t="s">
        <v>15</v>
      </c>
      <c r="J2" t="s">
        <v>18</v>
      </c>
    </row>
    <row r="3" spans="1:10" x14ac:dyDescent="0.45">
      <c r="A3" t="s">
        <v>10</v>
      </c>
      <c r="B3" t="s">
        <v>11</v>
      </c>
      <c r="C3" t="s">
        <v>12</v>
      </c>
      <c r="D3" t="s">
        <v>19</v>
      </c>
      <c r="E3">
        <v>4</v>
      </c>
      <c r="F3">
        <v>2</v>
      </c>
      <c r="G3">
        <v>1</v>
      </c>
      <c r="H3">
        <v>3</v>
      </c>
      <c r="I3">
        <v>2</v>
      </c>
      <c r="J3" t="s">
        <v>20</v>
      </c>
    </row>
    <row r="4" spans="1:10" x14ac:dyDescent="0.45">
      <c r="A4" t="s">
        <v>10</v>
      </c>
      <c r="B4" t="s">
        <v>11</v>
      </c>
      <c r="C4" t="s">
        <v>12</v>
      </c>
      <c r="D4" t="s">
        <v>21</v>
      </c>
      <c r="E4">
        <v>13</v>
      </c>
      <c r="F4">
        <v>65</v>
      </c>
      <c r="G4">
        <v>875</v>
      </c>
      <c r="H4">
        <v>1750</v>
      </c>
      <c r="I4">
        <v>13</v>
      </c>
      <c r="J4" t="s">
        <v>22</v>
      </c>
    </row>
    <row r="5" spans="1:10" x14ac:dyDescent="0.45">
      <c r="A5" t="s">
        <v>10</v>
      </c>
      <c r="B5" t="s">
        <v>11</v>
      </c>
      <c r="C5" t="s">
        <v>12</v>
      </c>
      <c r="D5" t="s">
        <v>23</v>
      </c>
      <c r="E5" t="s">
        <v>24</v>
      </c>
      <c r="F5" t="s">
        <v>25</v>
      </c>
      <c r="G5" t="s">
        <v>26</v>
      </c>
      <c r="H5" t="s">
        <v>27</v>
      </c>
      <c r="I5" t="s">
        <v>26</v>
      </c>
      <c r="J5" t="s">
        <v>28</v>
      </c>
    </row>
    <row r="6" spans="1:10" x14ac:dyDescent="0.45">
      <c r="A6" t="s">
        <v>10</v>
      </c>
      <c r="B6" t="s">
        <v>11</v>
      </c>
      <c r="C6" t="s">
        <v>12</v>
      </c>
      <c r="D6" t="s">
        <v>29</v>
      </c>
      <c r="E6">
        <v>12</v>
      </c>
      <c r="F6">
        <v>4</v>
      </c>
      <c r="G6">
        <v>20</v>
      </c>
      <c r="H6">
        <v>44</v>
      </c>
      <c r="I6">
        <v>20</v>
      </c>
      <c r="J6" t="s">
        <v>30</v>
      </c>
    </row>
    <row r="7" spans="1:10" x14ac:dyDescent="0.45">
      <c r="A7" t="s">
        <v>10</v>
      </c>
      <c r="B7" t="s">
        <v>11</v>
      </c>
      <c r="C7" t="s">
        <v>12</v>
      </c>
      <c r="D7" t="s">
        <v>31</v>
      </c>
      <c r="E7">
        <v>360</v>
      </c>
      <c r="F7">
        <v>150</v>
      </c>
      <c r="G7">
        <v>900</v>
      </c>
      <c r="H7">
        <v>200</v>
      </c>
      <c r="I7">
        <v>150</v>
      </c>
      <c r="J7" t="s">
        <v>32</v>
      </c>
    </row>
    <row r="8" spans="1:10" x14ac:dyDescent="0.45">
      <c r="A8" t="s">
        <v>10</v>
      </c>
      <c r="B8" t="s">
        <v>11</v>
      </c>
      <c r="C8" t="s">
        <v>12</v>
      </c>
      <c r="D8" t="s">
        <v>33</v>
      </c>
      <c r="E8">
        <v>1</v>
      </c>
      <c r="F8">
        <v>2</v>
      </c>
      <c r="G8">
        <v>3</v>
      </c>
      <c r="H8">
        <v>4</v>
      </c>
      <c r="I8">
        <v>2</v>
      </c>
      <c r="J8" t="s">
        <v>34</v>
      </c>
    </row>
    <row r="9" spans="1:10" x14ac:dyDescent="0.45">
      <c r="A9" t="s">
        <v>10</v>
      </c>
      <c r="B9" t="s">
        <v>11</v>
      </c>
      <c r="C9" t="s">
        <v>12</v>
      </c>
      <c r="D9" t="s">
        <v>35</v>
      </c>
      <c r="E9" t="s">
        <v>36</v>
      </c>
      <c r="F9" t="s">
        <v>37</v>
      </c>
      <c r="G9" t="s">
        <v>38</v>
      </c>
      <c r="H9" t="s">
        <v>39</v>
      </c>
      <c r="I9" t="s">
        <v>39</v>
      </c>
      <c r="J9" t="s">
        <v>40</v>
      </c>
    </row>
    <row r="10" spans="1:10" x14ac:dyDescent="0.45">
      <c r="A10" t="s">
        <v>10</v>
      </c>
      <c r="B10" t="s">
        <v>11</v>
      </c>
      <c r="C10" t="s">
        <v>12</v>
      </c>
      <c r="D10" t="s">
        <v>41</v>
      </c>
      <c r="E10" t="s">
        <v>42</v>
      </c>
      <c r="F10" t="s">
        <v>43</v>
      </c>
      <c r="G10" t="s">
        <v>44</v>
      </c>
      <c r="H10" t="s">
        <v>45</v>
      </c>
      <c r="I10" t="s">
        <v>42</v>
      </c>
      <c r="J10" t="s">
        <v>46</v>
      </c>
    </row>
    <row r="11" spans="1:10" x14ac:dyDescent="0.45">
      <c r="A11" t="s">
        <v>10</v>
      </c>
      <c r="B11" t="s">
        <v>11</v>
      </c>
      <c r="C11" t="s">
        <v>12</v>
      </c>
      <c r="D11" t="s">
        <v>47</v>
      </c>
      <c r="E11">
        <v>5</v>
      </c>
      <c r="F11">
        <v>3</v>
      </c>
      <c r="G11">
        <v>6</v>
      </c>
      <c r="H11">
        <v>4</v>
      </c>
      <c r="I11">
        <v>5</v>
      </c>
      <c r="J11" t="s">
        <v>48</v>
      </c>
    </row>
    <row r="12" spans="1:10" x14ac:dyDescent="0.45">
      <c r="A12" t="s">
        <v>10</v>
      </c>
      <c r="B12" t="s">
        <v>11</v>
      </c>
      <c r="C12" t="s">
        <v>12</v>
      </c>
      <c r="D12" t="s">
        <v>49</v>
      </c>
      <c r="E12" s="1">
        <v>4.3055555555555562E-2</v>
      </c>
      <c r="F12" s="1">
        <v>8.4027777777777771E-2</v>
      </c>
      <c r="G12" s="1">
        <v>4.2361111111111106E-2</v>
      </c>
      <c r="H12" s="1">
        <v>0.12569444444444444</v>
      </c>
      <c r="I12" s="1">
        <v>8.4027777777777771E-2</v>
      </c>
      <c r="J12" t="s">
        <v>50</v>
      </c>
    </row>
    <row r="13" spans="1:10" x14ac:dyDescent="0.45">
      <c r="A13" t="s">
        <v>10</v>
      </c>
      <c r="B13" t="s">
        <v>11</v>
      </c>
      <c r="C13" t="s">
        <v>12</v>
      </c>
      <c r="D13" t="s">
        <v>51</v>
      </c>
      <c r="E13">
        <v>6</v>
      </c>
      <c r="F13">
        <v>12</v>
      </c>
      <c r="G13">
        <v>8</v>
      </c>
      <c r="H13">
        <v>10</v>
      </c>
      <c r="I13">
        <v>12</v>
      </c>
      <c r="J13" t="s">
        <v>52</v>
      </c>
    </row>
    <row r="14" spans="1:10" x14ac:dyDescent="0.45">
      <c r="A14" t="s">
        <v>10</v>
      </c>
      <c r="B14" t="s">
        <v>11</v>
      </c>
      <c r="C14" t="s">
        <v>12</v>
      </c>
      <c r="D14" t="s">
        <v>53</v>
      </c>
      <c r="E14">
        <v>19</v>
      </c>
      <c r="F14">
        <v>16</v>
      </c>
      <c r="G14">
        <v>23</v>
      </c>
      <c r="H14">
        <v>17</v>
      </c>
      <c r="I14">
        <v>19</v>
      </c>
      <c r="J14" t="s">
        <v>54</v>
      </c>
    </row>
    <row r="15" spans="1:10" x14ac:dyDescent="0.45">
      <c r="A15" t="s">
        <v>10</v>
      </c>
      <c r="B15" t="s">
        <v>11</v>
      </c>
      <c r="C15" t="s">
        <v>12</v>
      </c>
      <c r="D15" t="s">
        <v>55</v>
      </c>
      <c r="E15" t="s">
        <v>56</v>
      </c>
      <c r="F15" t="s">
        <v>57</v>
      </c>
      <c r="G15" t="s">
        <v>58</v>
      </c>
      <c r="H15" t="s">
        <v>59</v>
      </c>
      <c r="I15" t="s">
        <v>56</v>
      </c>
      <c r="J15" t="s">
        <v>60</v>
      </c>
    </row>
    <row r="16" spans="1:10" x14ac:dyDescent="0.45">
      <c r="A16" t="s">
        <v>10</v>
      </c>
      <c r="B16" t="s">
        <v>11</v>
      </c>
      <c r="C16" t="s">
        <v>12</v>
      </c>
      <c r="D16" t="s">
        <v>61</v>
      </c>
      <c r="E16">
        <v>6</v>
      </c>
      <c r="F16">
        <v>12</v>
      </c>
      <c r="G16">
        <v>9</v>
      </c>
      <c r="H16">
        <v>8</v>
      </c>
      <c r="I16">
        <v>6</v>
      </c>
      <c r="J16" t="s">
        <v>62</v>
      </c>
    </row>
    <row r="17" spans="1:10" x14ac:dyDescent="0.45">
      <c r="A17" t="s">
        <v>10</v>
      </c>
      <c r="B17" t="s">
        <v>11</v>
      </c>
      <c r="C17" t="s">
        <v>12</v>
      </c>
      <c r="D17" t="s">
        <v>63</v>
      </c>
      <c r="E17">
        <v>1210</v>
      </c>
      <c r="F17">
        <v>1225</v>
      </c>
      <c r="G17">
        <v>1250</v>
      </c>
      <c r="H17">
        <v>1200</v>
      </c>
      <c r="I17">
        <v>1210</v>
      </c>
      <c r="J17" t="s">
        <v>64</v>
      </c>
    </row>
    <row r="18" spans="1:10" x14ac:dyDescent="0.45">
      <c r="A18" t="s">
        <v>10</v>
      </c>
      <c r="B18" t="s">
        <v>11</v>
      </c>
      <c r="C18" t="s">
        <v>12</v>
      </c>
      <c r="D18" t="s">
        <v>65</v>
      </c>
      <c r="E18">
        <v>2</v>
      </c>
      <c r="F18">
        <v>3</v>
      </c>
      <c r="G18">
        <v>4</v>
      </c>
      <c r="H18">
        <v>1</v>
      </c>
      <c r="I18">
        <v>2</v>
      </c>
      <c r="J18" t="s">
        <v>66</v>
      </c>
    </row>
    <row r="19" spans="1:10" x14ac:dyDescent="0.45">
      <c r="A19" t="s">
        <v>10</v>
      </c>
      <c r="B19" t="s">
        <v>11</v>
      </c>
      <c r="C19" t="s">
        <v>12</v>
      </c>
      <c r="D19" t="s">
        <v>67</v>
      </c>
      <c r="E19" t="s">
        <v>68</v>
      </c>
      <c r="F19" t="s">
        <v>69</v>
      </c>
      <c r="G19" t="s">
        <v>70</v>
      </c>
      <c r="H19" t="s">
        <v>71</v>
      </c>
      <c r="I19" t="s">
        <v>68</v>
      </c>
      <c r="J19" t="s">
        <v>72</v>
      </c>
    </row>
    <row r="20" spans="1:10" x14ac:dyDescent="0.45">
      <c r="A20" t="s">
        <v>10</v>
      </c>
      <c r="B20" t="s">
        <v>11</v>
      </c>
      <c r="C20" t="s">
        <v>12</v>
      </c>
      <c r="D20" t="s">
        <v>73</v>
      </c>
      <c r="E20">
        <v>9</v>
      </c>
      <c r="F20">
        <v>6</v>
      </c>
      <c r="G20">
        <v>12</v>
      </c>
      <c r="H20">
        <v>18</v>
      </c>
      <c r="I20">
        <v>9</v>
      </c>
      <c r="J20" t="s">
        <v>74</v>
      </c>
    </row>
    <row r="21" spans="1:10" x14ac:dyDescent="0.45">
      <c r="A21" t="s">
        <v>10</v>
      </c>
      <c r="B21" t="s">
        <v>11</v>
      </c>
      <c r="C21" t="s">
        <v>12</v>
      </c>
      <c r="D21" t="s">
        <v>75</v>
      </c>
      <c r="E21" t="s">
        <v>76</v>
      </c>
      <c r="F21" t="s">
        <v>77</v>
      </c>
      <c r="G21" t="s">
        <v>78</v>
      </c>
      <c r="H21" t="s">
        <v>79</v>
      </c>
      <c r="I21" t="s">
        <v>76</v>
      </c>
      <c r="J21" t="s">
        <v>80</v>
      </c>
    </row>
    <row r="22" spans="1:10" x14ac:dyDescent="0.45">
      <c r="A22" t="s">
        <v>10</v>
      </c>
      <c r="B22" t="s">
        <v>11</v>
      </c>
      <c r="C22" t="s">
        <v>81</v>
      </c>
      <c r="D22" t="s">
        <v>82</v>
      </c>
      <c r="E22" t="str">
        <f>"10"</f>
        <v>10</v>
      </c>
      <c r="F22" t="str">
        <f>"-10"</f>
        <v>-10</v>
      </c>
      <c r="G22" t="str">
        <f>"-7"</f>
        <v>-7</v>
      </c>
      <c r="H22" t="str">
        <f>"-2"</f>
        <v>-2</v>
      </c>
      <c r="I22" t="str">
        <f>"-10"</f>
        <v>-10</v>
      </c>
      <c r="J22" t="s">
        <v>83</v>
      </c>
    </row>
    <row r="23" spans="1:10" x14ac:dyDescent="0.45">
      <c r="A23" t="s">
        <v>10</v>
      </c>
      <c r="B23" t="s">
        <v>11</v>
      </c>
      <c r="C23" t="s">
        <v>81</v>
      </c>
      <c r="D23" t="s">
        <v>84</v>
      </c>
      <c r="E23" t="str">
        <f>"x² - x - 12"</f>
        <v>x² - x - 12</v>
      </c>
      <c r="F23" t="str">
        <f>"x² + x + 12"</f>
        <v>x² + x + 12</v>
      </c>
      <c r="G23" t="str">
        <f>"x² - 7x - 12"</f>
        <v>x² - 7x - 12</v>
      </c>
      <c r="H23" t="str">
        <f>"x² + 7x + 12"</f>
        <v>x² + 7x + 12</v>
      </c>
      <c r="I23" t="str">
        <f>"x² - x - 12"</f>
        <v>x² - x - 12</v>
      </c>
      <c r="J23" t="s">
        <v>85</v>
      </c>
    </row>
    <row r="24" spans="1:10" x14ac:dyDescent="0.45">
      <c r="A24" t="s">
        <v>10</v>
      </c>
      <c r="B24" t="s">
        <v>11</v>
      </c>
      <c r="C24" t="s">
        <v>81</v>
      </c>
      <c r="D24" t="s">
        <v>86</v>
      </c>
      <c r="E24" t="str">
        <f>"a = -7, b = -1"</f>
        <v>a = -7, b = -1</v>
      </c>
      <c r="F24" t="str">
        <f>"a = 5, b = -1"</f>
        <v>a = 5, b = -1</v>
      </c>
      <c r="G24" t="str">
        <f>"a = 0, b = -6"</f>
        <v>a = 0, b = -6</v>
      </c>
      <c r="H24" t="str">
        <f>"a = 2, b = -6"</f>
        <v>a = 2, b = -6</v>
      </c>
      <c r="I24" t="str">
        <f>"a = 0, b = -6"</f>
        <v>a = 0, b = -6</v>
      </c>
      <c r="J24" t="s">
        <v>87</v>
      </c>
    </row>
    <row r="25" spans="1:10" x14ac:dyDescent="0.45">
      <c r="A25" t="s">
        <v>10</v>
      </c>
      <c r="B25" t="s">
        <v>11</v>
      </c>
      <c r="C25" t="s">
        <v>81</v>
      </c>
      <c r="D25" t="s">
        <v>88</v>
      </c>
      <c r="E25" t="str">
        <f>"1"</f>
        <v>1</v>
      </c>
      <c r="F25" t="str">
        <f>"2"</f>
        <v>2</v>
      </c>
      <c r="G25" t="str">
        <f>"3"</f>
        <v>3</v>
      </c>
      <c r="H25" t="str">
        <f>"4"</f>
        <v>4</v>
      </c>
      <c r="I25" t="str">
        <f>"3"</f>
        <v>3</v>
      </c>
      <c r="J25" t="s">
        <v>89</v>
      </c>
    </row>
    <row r="26" spans="1:10" x14ac:dyDescent="0.45">
      <c r="A26" t="s">
        <v>10</v>
      </c>
      <c r="B26" t="s">
        <v>11</v>
      </c>
      <c r="C26" t="s">
        <v>81</v>
      </c>
      <c r="D26" t="s">
        <v>90</v>
      </c>
      <c r="E26" s="2" t="str">
        <f>"2"</f>
        <v>2</v>
      </c>
      <c r="F26" s="2" t="str">
        <f>"-2"</f>
        <v>-2</v>
      </c>
      <c r="G26" t="str">
        <f>"1"</f>
        <v>1</v>
      </c>
      <c r="H26" t="str">
        <f>"-1"</f>
        <v>-1</v>
      </c>
      <c r="I26" s="2" t="str">
        <f>"2"</f>
        <v>2</v>
      </c>
      <c r="J26" t="s">
        <v>91</v>
      </c>
    </row>
    <row r="27" spans="1:10" x14ac:dyDescent="0.45">
      <c r="A27" t="s">
        <v>10</v>
      </c>
      <c r="B27" t="s">
        <v>11</v>
      </c>
      <c r="C27" t="s">
        <v>81</v>
      </c>
      <c r="D27" t="s">
        <v>92</v>
      </c>
      <c r="E27" s="2" t="str">
        <f>"-8"</f>
        <v>-8</v>
      </c>
      <c r="F27" s="2" t="str">
        <f>"8"</f>
        <v>8</v>
      </c>
      <c r="G27" s="2" t="str">
        <f>"-16"</f>
        <v>-16</v>
      </c>
      <c r="H27" t="str">
        <f>"16"</f>
        <v>16</v>
      </c>
      <c r="I27" s="2" t="str">
        <f>"-16"</f>
        <v>-16</v>
      </c>
      <c r="J27" t="s">
        <v>93</v>
      </c>
    </row>
    <row r="28" spans="1:10" x14ac:dyDescent="0.45">
      <c r="A28" t="s">
        <v>10</v>
      </c>
      <c r="B28" t="s">
        <v>11</v>
      </c>
      <c r="C28" t="s">
        <v>81</v>
      </c>
      <c r="D28" t="s">
        <v>94</v>
      </c>
      <c r="E28" t="str">
        <f>"5/7"</f>
        <v>5/7</v>
      </c>
      <c r="F28" t="str">
        <f>"7/5"</f>
        <v>7/5</v>
      </c>
      <c r="G28" t="str">
        <f>"-5/7"</f>
        <v>-5/7</v>
      </c>
      <c r="H28" t="str">
        <f>"-7/5"</f>
        <v>-7/5</v>
      </c>
      <c r="I28" t="str">
        <f>"5/7"</f>
        <v>5/7</v>
      </c>
      <c r="J28" t="s">
        <v>95</v>
      </c>
    </row>
    <row r="29" spans="1:10" x14ac:dyDescent="0.45">
      <c r="A29" t="s">
        <v>10</v>
      </c>
      <c r="B29" t="s">
        <v>11</v>
      </c>
      <c r="C29" t="s">
        <v>81</v>
      </c>
      <c r="D29" t="s">
        <v>96</v>
      </c>
      <c r="E29" t="str">
        <f>"2/3"</f>
        <v>2/3</v>
      </c>
      <c r="F29" t="str">
        <f>"3/2"</f>
        <v>3/2</v>
      </c>
      <c r="G29" t="str">
        <f>"1/3"</f>
        <v>1/3</v>
      </c>
      <c r="H29" t="str">
        <f>"3"</f>
        <v>3</v>
      </c>
      <c r="I29" t="str">
        <f>"3/2"</f>
        <v>3/2</v>
      </c>
      <c r="J29" t="s">
        <v>97</v>
      </c>
    </row>
    <row r="30" spans="1:10" x14ac:dyDescent="0.45">
      <c r="A30" t="s">
        <v>10</v>
      </c>
      <c r="B30" t="s">
        <v>11</v>
      </c>
      <c r="C30" t="s">
        <v>81</v>
      </c>
      <c r="D30" t="s">
        <v>98</v>
      </c>
      <c r="E30" s="2" t="str">
        <f>"1"</f>
        <v>1</v>
      </c>
      <c r="F30" s="2" t="str">
        <f>"2"</f>
        <v>2</v>
      </c>
      <c r="G30" s="2" t="str">
        <f>"3"</f>
        <v>3</v>
      </c>
      <c r="H30" s="2" t="str">
        <f>"More than 3"</f>
        <v>More than 3</v>
      </c>
      <c r="I30" s="2" t="str">
        <f>"More than 3"</f>
        <v>More than 3</v>
      </c>
      <c r="J30" t="s">
        <v>99</v>
      </c>
    </row>
    <row r="31" spans="1:10" x14ac:dyDescent="0.45">
      <c r="A31" t="s">
        <v>10</v>
      </c>
      <c r="B31" t="s">
        <v>11</v>
      </c>
      <c r="C31" t="s">
        <v>81</v>
      </c>
      <c r="D31" t="s">
        <v>100</v>
      </c>
      <c r="E31" t="str">
        <f>"c"</f>
        <v>c</v>
      </c>
      <c r="F31" t="str">
        <f>"1 - c"</f>
        <v>1 - c</v>
      </c>
      <c r="G31" t="str">
        <f>"c - 1"</f>
        <v>c - 1</v>
      </c>
      <c r="H31" t="str">
        <f>"1 + c"</f>
        <v>1 + c</v>
      </c>
      <c r="I31" t="str">
        <f>"1 - c"</f>
        <v>1 - c</v>
      </c>
      <c r="J31" t="s">
        <v>101</v>
      </c>
    </row>
    <row r="32" spans="1:10" x14ac:dyDescent="0.45">
      <c r="A32" t="s">
        <v>10</v>
      </c>
      <c r="B32" t="s">
        <v>11</v>
      </c>
      <c r="C32" t="s">
        <v>81</v>
      </c>
      <c r="D32" t="s">
        <v>102</v>
      </c>
      <c r="E32" t="str">
        <f>"2/3"</f>
        <v>2/3</v>
      </c>
      <c r="F32" t="str">
        <f>"1/3"</f>
        <v>1/3</v>
      </c>
      <c r="G32" t="str">
        <f>"5/3"</f>
        <v>5/3</v>
      </c>
      <c r="H32" t="str">
        <f>"4/3"</f>
        <v>4/3</v>
      </c>
      <c r="I32" t="str">
        <f>"2/3"</f>
        <v>2/3</v>
      </c>
      <c r="J32" t="s">
        <v>103</v>
      </c>
    </row>
    <row r="33" spans="1:10" x14ac:dyDescent="0.45">
      <c r="A33" t="s">
        <v>10</v>
      </c>
      <c r="B33" t="s">
        <v>11</v>
      </c>
      <c r="C33" t="s">
        <v>81</v>
      </c>
      <c r="D33" t="s">
        <v>104</v>
      </c>
      <c r="E33" t="str">
        <f>"3"</f>
        <v>3</v>
      </c>
      <c r="F33" t="str">
        <f>"4"</f>
        <v>4</v>
      </c>
      <c r="G33" t="str">
        <f>"5"</f>
        <v>5</v>
      </c>
      <c r="H33" t="str">
        <f>"2"</f>
        <v>2</v>
      </c>
      <c r="I33" t="str">
        <f>"3"</f>
        <v>3</v>
      </c>
      <c r="J33" t="s">
        <v>105</v>
      </c>
    </row>
    <row r="34" spans="1:10" x14ac:dyDescent="0.45">
      <c r="A34" t="s">
        <v>10</v>
      </c>
      <c r="B34" t="s">
        <v>11</v>
      </c>
      <c r="C34" t="s">
        <v>81</v>
      </c>
      <c r="D34" t="s">
        <v>106</v>
      </c>
      <c r="E34" t="str">
        <f>"x² - 3x + 1"</f>
        <v>x² - 3x + 1</v>
      </c>
      <c r="F34" t="str">
        <f>"x² + 3x + 1"</f>
        <v>x² + 3x + 1</v>
      </c>
      <c r="G34" t="str">
        <f>"x² - 3x - 1"</f>
        <v>x² - 3x - 1</v>
      </c>
      <c r="H34" t="str">
        <f>"x² + 3x - 1"</f>
        <v>x² + 3x - 1</v>
      </c>
      <c r="I34" t="str">
        <f>"x² - 3x + 1"</f>
        <v>x² - 3x + 1</v>
      </c>
      <c r="J34" t="s">
        <v>107</v>
      </c>
    </row>
    <row r="35" spans="1:10" x14ac:dyDescent="0.45">
      <c r="A35" t="s">
        <v>10</v>
      </c>
      <c r="B35" t="s">
        <v>11</v>
      </c>
      <c r="C35" t="s">
        <v>81</v>
      </c>
      <c r="D35" t="s">
        <v>108</v>
      </c>
      <c r="E35" t="str">
        <f>"[(b² - 2ac)² - 2a²c²] / (a³c)"</f>
        <v>[(b² - 2ac)² - 2a²c²] / (a³c)</v>
      </c>
      <c r="F35" t="str">
        <f>"(b⁴ - 4a²b²c + 2a²c²) / (a³c)"</f>
        <v>(b⁴ - 4a²b²c + 2a²c²) / (a³c)</v>
      </c>
      <c r="G35" t="str">
        <f>"(b⁴ - 4ab²c + 2a²c²) / (a³c)"</f>
        <v>(b⁴ - 4ab²c + 2a²c²) / (a³c)</v>
      </c>
      <c r="H35" t="str">
        <f>"(b⁴ - 3ab²c + 2a²c²) / (a³c)"</f>
        <v>(b⁴ - 3ab²c + 2a²c²) / (a³c)</v>
      </c>
      <c r="I35" t="str">
        <f>"(b⁴ - 4ab²c + 2a²c²) / (a³c)"</f>
        <v>(b⁴ - 4ab²c + 2a²c²) / (a³c)</v>
      </c>
      <c r="J35" t="s">
        <v>109</v>
      </c>
    </row>
    <row r="36" spans="1:10" x14ac:dyDescent="0.45">
      <c r="A36" t="s">
        <v>10</v>
      </c>
      <c r="B36" t="s">
        <v>11</v>
      </c>
      <c r="C36" t="s">
        <v>81</v>
      </c>
      <c r="D36" t="s">
        <v>110</v>
      </c>
      <c r="E36" t="str">
        <f>"p⁴ - 4p²q + 2q²"</f>
        <v>p⁴ - 4p²q + 2q²</v>
      </c>
      <c r="F36" t="str">
        <f>"p⁴ - 4p²q + 4q²"</f>
        <v>p⁴ - 4p²q + 4q²</v>
      </c>
      <c r="G36" t="str">
        <f>"p⁴ - 2p²q + 2q²"</f>
        <v>p⁴ - 2p²q + 2q²</v>
      </c>
      <c r="H36" t="str">
        <f>"p⁴ - 4pq² + 2q²"</f>
        <v>p⁴ - 4pq² + 2q²</v>
      </c>
      <c r="I36" t="str">
        <f>"p⁴ - 4p²q + 2q²"</f>
        <v>p⁴ - 4p²q + 2q²</v>
      </c>
      <c r="J36" t="s">
        <v>111</v>
      </c>
    </row>
    <row r="37" spans="1:10" x14ac:dyDescent="0.45">
      <c r="A37" t="s">
        <v>10</v>
      </c>
      <c r="B37" t="s">
        <v>11</v>
      </c>
      <c r="C37" t="s">
        <v>81</v>
      </c>
      <c r="D37" t="s">
        <v>112</v>
      </c>
      <c r="E37" t="str">
        <f>"3, 5"</f>
        <v>3, 5</v>
      </c>
      <c r="F37" t="str">
        <f>"-3, 5"</f>
        <v>-3, 5</v>
      </c>
      <c r="G37" t="str">
        <f>"3, -5"</f>
        <v>3, -5</v>
      </c>
      <c r="H37" t="str">
        <f>"5, -6"</f>
        <v>5, -6</v>
      </c>
      <c r="I37" t="str">
        <f>"5, -6"</f>
        <v>5, -6</v>
      </c>
      <c r="J37" t="s">
        <v>113</v>
      </c>
    </row>
    <row r="38" spans="1:10" x14ac:dyDescent="0.45">
      <c r="A38" t="s">
        <v>10</v>
      </c>
      <c r="B38" t="s">
        <v>11</v>
      </c>
      <c r="C38" t="s">
        <v>81</v>
      </c>
      <c r="D38" t="s">
        <v>114</v>
      </c>
      <c r="E38" t="str">
        <f>"12"</f>
        <v>12</v>
      </c>
      <c r="F38" t="str">
        <f>"6"</f>
        <v>6</v>
      </c>
      <c r="G38" t="str">
        <f>"18"</f>
        <v>18</v>
      </c>
      <c r="H38" t="str">
        <f>"24"</f>
        <v>24</v>
      </c>
      <c r="I38" t="str">
        <f>"12"</f>
        <v>12</v>
      </c>
      <c r="J38" t="s">
        <v>115</v>
      </c>
    </row>
    <row r="39" spans="1:10" x14ac:dyDescent="0.45">
      <c r="A39" t="s">
        <v>10</v>
      </c>
      <c r="B39" t="s">
        <v>11</v>
      </c>
      <c r="C39" t="s">
        <v>81</v>
      </c>
      <c r="D39" t="s">
        <v>116</v>
      </c>
      <c r="E39" t="str">
        <f>"2"</f>
        <v>2</v>
      </c>
      <c r="F39" t="str">
        <f>"3"</f>
        <v>3</v>
      </c>
      <c r="G39" t="str">
        <f>"-2"</f>
        <v>-2</v>
      </c>
      <c r="H39" t="str">
        <f>"1"</f>
        <v>1</v>
      </c>
      <c r="I39" t="str">
        <f>"2"</f>
        <v>2</v>
      </c>
      <c r="J39" t="s">
        <v>117</v>
      </c>
    </row>
    <row r="40" spans="1:10" x14ac:dyDescent="0.45">
      <c r="A40" t="s">
        <v>10</v>
      </c>
      <c r="B40" t="s">
        <v>11</v>
      </c>
      <c r="C40" t="s">
        <v>81</v>
      </c>
      <c r="D40" t="s">
        <v>118</v>
      </c>
      <c r="E40" t="str">
        <f>"1, -1"</f>
        <v>1, -1</v>
      </c>
      <c r="F40" t="str">
        <f>"1, 2"</f>
        <v>1, 2</v>
      </c>
      <c r="G40" t="str">
        <f>"0, 1"</f>
        <v>0, 1</v>
      </c>
      <c r="H40" t="str">
        <f>"1 only"</f>
        <v>1 only</v>
      </c>
      <c r="I40" t="str">
        <f>"1, -1"</f>
        <v>1, -1</v>
      </c>
      <c r="J40" t="s">
        <v>119</v>
      </c>
    </row>
    <row r="41" spans="1:10" x14ac:dyDescent="0.45">
      <c r="A41" t="s">
        <v>10</v>
      </c>
      <c r="B41" t="s">
        <v>11</v>
      </c>
      <c r="C41" t="s">
        <v>81</v>
      </c>
      <c r="D41" t="s">
        <v>120</v>
      </c>
      <c r="E41" t="str">
        <f>"100"</f>
        <v>100</v>
      </c>
      <c r="F41" t="str">
        <f>"64"</f>
        <v>64</v>
      </c>
      <c r="G41" t="str">
        <f>"36"</f>
        <v>36</v>
      </c>
      <c r="H41" t="str">
        <f>"16"</f>
        <v>16</v>
      </c>
      <c r="I41" t="str">
        <f>"100"</f>
        <v>100</v>
      </c>
      <c r="J41" t="s">
        <v>121</v>
      </c>
    </row>
    <row r="42" spans="1:10" x14ac:dyDescent="0.45">
      <c r="A42" t="s">
        <v>10</v>
      </c>
      <c r="B42" t="s">
        <v>11</v>
      </c>
      <c r="C42" t="s">
        <v>122</v>
      </c>
      <c r="D42" t="s">
        <v>123</v>
      </c>
      <c r="E42" t="str">
        <f>"a unique solution"</f>
        <v>a unique solution</v>
      </c>
      <c r="F42" t="str">
        <f>"exactly two solutions"</f>
        <v>exactly two solutions</v>
      </c>
      <c r="G42" t="str">
        <f>"infinitely many solutions"</f>
        <v>infinitely many solutions</v>
      </c>
      <c r="H42" t="str">
        <f>"no solution"</f>
        <v>no solution</v>
      </c>
      <c r="I42" t="str">
        <f>"no solution"</f>
        <v>no solution</v>
      </c>
      <c r="J42" t="s">
        <v>124</v>
      </c>
    </row>
    <row r="43" spans="1:10" x14ac:dyDescent="0.45">
      <c r="A43" t="s">
        <v>10</v>
      </c>
      <c r="B43" t="s">
        <v>11</v>
      </c>
      <c r="C43" t="s">
        <v>122</v>
      </c>
      <c r="D43" t="s">
        <v>125</v>
      </c>
      <c r="E43" t="str">
        <f>"parallel"</f>
        <v>parallel</v>
      </c>
      <c r="F43" t="str">
        <f>"always coincident"</f>
        <v>always coincident</v>
      </c>
      <c r="G43" t="str">
        <f>"intersecting or coincident"</f>
        <v>intersecting or coincident</v>
      </c>
      <c r="H43" t="str">
        <f>"always intersecting"</f>
        <v>always intersecting</v>
      </c>
      <c r="I43" t="str">
        <f>"intersecting or coincident"</f>
        <v>intersecting or coincident</v>
      </c>
      <c r="J43" t="s">
        <v>126</v>
      </c>
    </row>
    <row r="44" spans="1:10" x14ac:dyDescent="0.45">
      <c r="A44" t="s">
        <v>10</v>
      </c>
      <c r="B44" t="s">
        <v>11</v>
      </c>
      <c r="C44" t="s">
        <v>122</v>
      </c>
      <c r="D44" t="s">
        <v>127</v>
      </c>
      <c r="E44" t="str">
        <f>"x-axis"</f>
        <v>x-axis</v>
      </c>
      <c r="F44" t="str">
        <f>"y-axis"</f>
        <v>y-axis</v>
      </c>
      <c r="G44" t="str">
        <f>"both axes"</f>
        <v>both axes</v>
      </c>
      <c r="H44" t="str">
        <f>"neither axis"</f>
        <v>neither axis</v>
      </c>
      <c r="I44" t="str">
        <f>"y-axis"</f>
        <v>y-axis</v>
      </c>
      <c r="J44" t="s">
        <v>128</v>
      </c>
    </row>
    <row r="45" spans="1:10" x14ac:dyDescent="0.45">
      <c r="A45" t="s">
        <v>10</v>
      </c>
      <c r="B45" t="s">
        <v>11</v>
      </c>
      <c r="C45" t="s">
        <v>122</v>
      </c>
      <c r="D45" t="s">
        <v>129</v>
      </c>
      <c r="E45" t="str">
        <f>"3, 5"</f>
        <v>3, 5</v>
      </c>
      <c r="F45" t="str">
        <f>"5, 3"</f>
        <v>5, 3</v>
      </c>
      <c r="G45" t="str">
        <f>"3, 1"</f>
        <v>3, 1</v>
      </c>
      <c r="H45" t="str">
        <f>"-1, -3"</f>
        <v>-1, -3</v>
      </c>
      <c r="I45" t="str">
        <f>"3, 1"</f>
        <v>3, 1</v>
      </c>
      <c r="J45" t="s">
        <v>130</v>
      </c>
    </row>
    <row r="46" spans="1:10" x14ac:dyDescent="0.45">
      <c r="A46" t="s">
        <v>10</v>
      </c>
      <c r="B46" t="s">
        <v>11</v>
      </c>
      <c r="C46" t="s">
        <v>122</v>
      </c>
      <c r="D46" t="s">
        <v>131</v>
      </c>
      <c r="E46" t="str">
        <f>"one solution"</f>
        <v>one solution</v>
      </c>
      <c r="F46" t="str">
        <f>"two solutions"</f>
        <v>two solutions</v>
      </c>
      <c r="G46" t="str">
        <f>"infinitely many solutions"</f>
        <v>infinitely many solutions</v>
      </c>
      <c r="H46" t="str">
        <f>"no solution"</f>
        <v>no solution</v>
      </c>
      <c r="I46" t="str">
        <f>"no solution"</f>
        <v>no solution</v>
      </c>
      <c r="J46" t="s">
        <v>132</v>
      </c>
    </row>
    <row r="47" spans="1:10" x14ac:dyDescent="0.45">
      <c r="A47" t="s">
        <v>10</v>
      </c>
      <c r="B47" t="s">
        <v>11</v>
      </c>
      <c r="C47" t="s">
        <v>122</v>
      </c>
      <c r="D47" t="s">
        <v>133</v>
      </c>
      <c r="E47" t="str">
        <f>"1/2"</f>
        <v>1/2</v>
      </c>
      <c r="F47" t="str">
        <f>"-1/2"</f>
        <v>-1/2</v>
      </c>
      <c r="G47" t="str">
        <f>"2"</f>
        <v>2</v>
      </c>
      <c r="H47" t="str">
        <f>"-2"</f>
        <v>-2</v>
      </c>
      <c r="I47" t="str">
        <f>"2"</f>
        <v>2</v>
      </c>
      <c r="J47" t="s">
        <v>134</v>
      </c>
    </row>
    <row r="48" spans="1:10" x14ac:dyDescent="0.45">
      <c r="A48" t="s">
        <v>10</v>
      </c>
      <c r="B48" t="s">
        <v>11</v>
      </c>
      <c r="C48" t="s">
        <v>122</v>
      </c>
      <c r="D48" t="s">
        <v>135</v>
      </c>
      <c r="E48" t="str">
        <f>"k = 3"</f>
        <v>k = 3</v>
      </c>
      <c r="F48" t="str">
        <f>"k ≠ 3"</f>
        <v>k ≠ 3</v>
      </c>
      <c r="G48" t="str">
        <f>"k = 0"</f>
        <v>k = 0</v>
      </c>
      <c r="H48" t="str">
        <f>"k ≠ 0"</f>
        <v>k ≠ 0</v>
      </c>
      <c r="I48" t="str">
        <f>"k ≠ 3"</f>
        <v>k ≠ 3</v>
      </c>
      <c r="J48" t="s">
        <v>136</v>
      </c>
    </row>
    <row r="49" spans="1:10" x14ac:dyDescent="0.45">
      <c r="A49" t="s">
        <v>10</v>
      </c>
      <c r="B49" t="s">
        <v>11</v>
      </c>
      <c r="C49" t="s">
        <v>122</v>
      </c>
      <c r="D49" t="s">
        <v>137</v>
      </c>
      <c r="E49" t="str">
        <f>"-2"</f>
        <v>-2</v>
      </c>
      <c r="F49" t="str">
        <f>"2"</f>
        <v>2</v>
      </c>
      <c r="G49" t="str">
        <f>"-1"</f>
        <v>-1</v>
      </c>
      <c r="H49" t="str">
        <f>"1"</f>
        <v>1</v>
      </c>
      <c r="I49" t="str">
        <f>"-1"</f>
        <v>-1</v>
      </c>
      <c r="J49" t="s">
        <v>138</v>
      </c>
    </row>
    <row r="50" spans="1:10" x14ac:dyDescent="0.45">
      <c r="A50" t="s">
        <v>10</v>
      </c>
      <c r="B50" t="s">
        <v>11</v>
      </c>
      <c r="C50" t="s">
        <v>122</v>
      </c>
      <c r="D50" t="s">
        <v>139</v>
      </c>
      <c r="E50" t="str">
        <f>"12 sq units"</f>
        <v>12 sq units</v>
      </c>
      <c r="F50" t="str">
        <f>"6 sq units"</f>
        <v>6 sq units</v>
      </c>
      <c r="G50" t="str">
        <f>"7 sq units"</f>
        <v>7 sq units</v>
      </c>
      <c r="H50" t="str">
        <f>"24 sq units"</f>
        <v>24 sq units</v>
      </c>
      <c r="I50" t="str">
        <f>"12 sq units"</f>
        <v>12 sq units</v>
      </c>
      <c r="J50" t="s">
        <v>140</v>
      </c>
    </row>
    <row r="51" spans="1:10" x14ac:dyDescent="0.45">
      <c r="A51" t="s">
        <v>10</v>
      </c>
      <c r="B51" t="s">
        <v>11</v>
      </c>
      <c r="C51" t="s">
        <v>122</v>
      </c>
      <c r="D51" t="s">
        <v>141</v>
      </c>
      <c r="E51" t="str">
        <f>"35, 15"</f>
        <v>35, 15</v>
      </c>
      <c r="F51" t="str">
        <f>"35, 20"</f>
        <v>35, 20</v>
      </c>
      <c r="G51" t="str">
        <f>"25, 25"</f>
        <v>25, 25</v>
      </c>
      <c r="H51" t="str">
        <f>"15, 35"</f>
        <v>15, 35</v>
      </c>
      <c r="I51" t="str">
        <f>"25, 25"</f>
        <v>25, 25</v>
      </c>
      <c r="J51" t="s">
        <v>142</v>
      </c>
    </row>
    <row r="52" spans="1:10" x14ac:dyDescent="0.45">
      <c r="A52" t="s">
        <v>10</v>
      </c>
      <c r="B52" t="s">
        <v>11</v>
      </c>
      <c r="C52" t="s">
        <v>122</v>
      </c>
      <c r="D52" t="s">
        <v>143</v>
      </c>
      <c r="E52" t="str">
        <f>"27"</f>
        <v>27</v>
      </c>
      <c r="F52" t="str">
        <f>"36"</f>
        <v>36</v>
      </c>
      <c r="G52" t="str">
        <f>"63"</f>
        <v>63</v>
      </c>
      <c r="H52" t="str">
        <f>"72"</f>
        <v>72</v>
      </c>
      <c r="I52" t="str">
        <f>"36"</f>
        <v>36</v>
      </c>
      <c r="J52" t="s">
        <v>144</v>
      </c>
    </row>
    <row r="53" spans="1:10" x14ac:dyDescent="0.45">
      <c r="A53" t="s">
        <v>10</v>
      </c>
      <c r="B53" t="s">
        <v>11</v>
      </c>
      <c r="C53" t="s">
        <v>122</v>
      </c>
      <c r="D53" t="s">
        <v>145</v>
      </c>
      <c r="E53" t="str">
        <f>"5"</f>
        <v>5</v>
      </c>
      <c r="F53" t="str">
        <f>"6"</f>
        <v>6</v>
      </c>
      <c r="G53" t="str">
        <f>"7"</f>
        <v>7</v>
      </c>
      <c r="H53" t="str">
        <f>"8"</f>
        <v>8</v>
      </c>
      <c r="I53" t="str">
        <f>"5"</f>
        <v>5</v>
      </c>
      <c r="J53" t="s">
        <v>146</v>
      </c>
    </row>
    <row r="54" spans="1:10" x14ac:dyDescent="0.45">
      <c r="A54" t="s">
        <v>10</v>
      </c>
      <c r="B54" t="s">
        <v>11</v>
      </c>
      <c r="C54" t="s">
        <v>122</v>
      </c>
      <c r="D54" t="s">
        <v>147</v>
      </c>
      <c r="E54" t="str">
        <f>"1"</f>
        <v>1</v>
      </c>
      <c r="F54" t="str">
        <f>"2"</f>
        <v>2</v>
      </c>
      <c r="G54" t="str">
        <f>"3"</f>
        <v>3</v>
      </c>
      <c r="H54" t="str">
        <f>"4"</f>
        <v>4</v>
      </c>
      <c r="I54" t="str">
        <f>"1"</f>
        <v>1</v>
      </c>
      <c r="J54" t="s">
        <v>148</v>
      </c>
    </row>
    <row r="55" spans="1:10" x14ac:dyDescent="0.45">
      <c r="A55" t="s">
        <v>10</v>
      </c>
      <c r="B55" t="s">
        <v>11</v>
      </c>
      <c r="C55" t="s">
        <v>122</v>
      </c>
      <c r="D55" t="s">
        <v>149</v>
      </c>
      <c r="E55" t="str">
        <f>"5/12"</f>
        <v>5/12</v>
      </c>
      <c r="F55" t="str">
        <f>"7/12"</f>
        <v>7/12</v>
      </c>
      <c r="G55" t="str">
        <f>"4/12"</f>
        <v>4/12</v>
      </c>
      <c r="H55" t="str">
        <f>"5/11"</f>
        <v>5/11</v>
      </c>
      <c r="I55" t="str">
        <f>"5/12"</f>
        <v>5/12</v>
      </c>
      <c r="J55" t="s">
        <v>150</v>
      </c>
    </row>
    <row r="56" spans="1:10" x14ac:dyDescent="0.45">
      <c r="A56" t="s">
        <v>10</v>
      </c>
      <c r="B56" t="s">
        <v>11</v>
      </c>
      <c r="C56" t="s">
        <v>122</v>
      </c>
      <c r="D56" t="s">
        <v>151</v>
      </c>
      <c r="E56" t="str">
        <f>"3"</f>
        <v>3</v>
      </c>
      <c r="F56" t="str">
        <f>"-3"</f>
        <v>-3</v>
      </c>
      <c r="G56" t="str">
        <f>"12"</f>
        <v>12</v>
      </c>
      <c r="H56" t="str">
        <f>"no value"</f>
        <v>no value</v>
      </c>
      <c r="I56" t="str">
        <f>"3"</f>
        <v>3</v>
      </c>
      <c r="J56" t="s">
        <v>152</v>
      </c>
    </row>
    <row r="57" spans="1:10" x14ac:dyDescent="0.45">
      <c r="A57" t="s">
        <v>10</v>
      </c>
      <c r="B57" t="s">
        <v>11</v>
      </c>
      <c r="C57" t="s">
        <v>122</v>
      </c>
      <c r="D57" t="s">
        <v>153</v>
      </c>
      <c r="E57" t="str">
        <f>"4 and 24"</f>
        <v>4 and 24</v>
      </c>
      <c r="F57" t="str">
        <f>"5 and 30"</f>
        <v>5 and 30</v>
      </c>
      <c r="G57" t="str">
        <f>"6 and 36"</f>
        <v>6 and 36</v>
      </c>
      <c r="H57" t="str">
        <f>"3 and 18"</f>
        <v>3 and 18</v>
      </c>
      <c r="I57" t="str">
        <f>"6 and 36"</f>
        <v>6 and 36</v>
      </c>
      <c r="J57" t="s">
        <v>154</v>
      </c>
    </row>
    <row r="58" spans="1:10" x14ac:dyDescent="0.45">
      <c r="A58" t="s">
        <v>10</v>
      </c>
      <c r="B58" t="s">
        <v>11</v>
      </c>
      <c r="C58" t="s">
        <v>122</v>
      </c>
      <c r="D58" t="s">
        <v>155</v>
      </c>
      <c r="E58" t="str">
        <f>"8 km/h"</f>
        <v>8 km/h</v>
      </c>
      <c r="F58" t="str">
        <f>"3 km/h"</f>
        <v>3 km/h</v>
      </c>
      <c r="G58" t="str">
        <f>"11 km/h"</f>
        <v>11 km/h</v>
      </c>
      <c r="H58" t="str">
        <f>"5 km/h"</f>
        <v>5 km/h</v>
      </c>
      <c r="I58" t="str">
        <f>"8 km/h"</f>
        <v>8 km/h</v>
      </c>
      <c r="J58" t="s">
        <v>156</v>
      </c>
    </row>
    <row r="59" spans="1:10" x14ac:dyDescent="0.45">
      <c r="A59" t="s">
        <v>10</v>
      </c>
      <c r="B59" t="s">
        <v>11</v>
      </c>
      <c r="C59" t="s">
        <v>122</v>
      </c>
      <c r="D59" t="s">
        <v>157</v>
      </c>
      <c r="E59" t="str">
        <f>"3 km/h"</f>
        <v>3 km/h</v>
      </c>
      <c r="F59" t="str">
        <f>"2 km/h"</f>
        <v>2 km/h</v>
      </c>
      <c r="G59" t="str">
        <f>"5 km/h"</f>
        <v>5 km/h</v>
      </c>
      <c r="H59" t="str">
        <f>"4 km/h"</f>
        <v>4 km/h</v>
      </c>
      <c r="I59" t="str">
        <f>"3 km/h"</f>
        <v>3 km/h</v>
      </c>
      <c r="J59" t="s">
        <v>158</v>
      </c>
    </row>
    <row r="60" spans="1:10" x14ac:dyDescent="0.45">
      <c r="A60" t="s">
        <v>10</v>
      </c>
      <c r="B60" t="s">
        <v>11</v>
      </c>
      <c r="C60" t="s">
        <v>122</v>
      </c>
      <c r="D60" t="s">
        <v>159</v>
      </c>
      <c r="E60" t="str">
        <f>"18 days"</f>
        <v>18 days</v>
      </c>
      <c r="F60" t="str">
        <f>"36 days"</f>
        <v>36 days</v>
      </c>
      <c r="G60" t="str">
        <f>"12 days"</f>
        <v>12 days</v>
      </c>
      <c r="H60" t="str">
        <f>"24 days"</f>
        <v>24 days</v>
      </c>
      <c r="I60" t="str">
        <f>"18 days"</f>
        <v>18 days</v>
      </c>
      <c r="J60" t="s">
        <v>160</v>
      </c>
    </row>
    <row r="61" spans="1:10" x14ac:dyDescent="0.45">
      <c r="A61" t="s">
        <v>10</v>
      </c>
      <c r="B61" t="s">
        <v>11</v>
      </c>
      <c r="C61" t="s">
        <v>122</v>
      </c>
      <c r="D61" t="s">
        <v>161</v>
      </c>
      <c r="E61" t="str">
        <f>"36 days"</f>
        <v>36 days</v>
      </c>
      <c r="F61" t="str">
        <f>"18 days"</f>
        <v>18 days</v>
      </c>
      <c r="G61" t="str">
        <f>"30 days"</f>
        <v>30 days</v>
      </c>
      <c r="H61" t="str">
        <f>"20 days"</f>
        <v>20 days</v>
      </c>
      <c r="I61" t="str">
        <f>"36 days"</f>
        <v>36 days</v>
      </c>
      <c r="J61" t="s">
        <v>162</v>
      </c>
    </row>
    <row r="62" spans="1:10" x14ac:dyDescent="0.45">
      <c r="A62" t="s">
        <v>10</v>
      </c>
      <c r="B62" t="s">
        <v>11</v>
      </c>
      <c r="C62" t="s">
        <v>122</v>
      </c>
      <c r="D62" t="s">
        <v>163</v>
      </c>
      <c r="E62" t="str">
        <f>"60 km/h and 40 km/h"</f>
        <v>60 km/h and 40 km/h</v>
      </c>
      <c r="F62" t="str">
        <f>"70 km/h and 30 km/h"</f>
        <v>70 km/h and 30 km/h</v>
      </c>
      <c r="G62" t="str">
        <f>"50 km/h and 50 km/h"</f>
        <v>50 km/h and 50 km/h</v>
      </c>
      <c r="H62" t="str">
        <f>"80 km/h and 20 km/h"</f>
        <v>80 km/h and 20 km/h</v>
      </c>
      <c r="I62" t="str">
        <f>"60 km/h and 40 km/h"</f>
        <v>60 km/h and 40 km/h</v>
      </c>
      <c r="J62" t="s">
        <v>164</v>
      </c>
    </row>
    <row r="63" spans="1:10" x14ac:dyDescent="0.45">
      <c r="A63" t="s">
        <v>10</v>
      </c>
      <c r="B63" t="s">
        <v>11</v>
      </c>
      <c r="C63" t="s">
        <v>165</v>
      </c>
      <c r="D63" t="s">
        <v>166</v>
      </c>
      <c r="E63" t="str">
        <f>"x² + 2x + 1 = (4 - x)² + 3"</f>
        <v>x² + 2x + 1 = (4 - x)² + 3</v>
      </c>
      <c r="F63" t="str">
        <f>"(k + 1)x² + 3/2 x = 7, where k = -1"</f>
        <v>(k + 1)x² + 3/2 x = 7, where k = -1</v>
      </c>
      <c r="G63" t="str">
        <f>"x³ + 2x = (x + 1)³"</f>
        <v>x³ + 2x = (x + 1)³</v>
      </c>
      <c r="H63" t="str">
        <f>"x³ - x² = (x - 1)³"</f>
        <v>x³ - x² = (x - 1)³</v>
      </c>
      <c r="I63" t="str">
        <f>"x³ - x² = (x - 1)³"</f>
        <v>x³ - x² = (x - 1)³</v>
      </c>
      <c r="J63" t="s">
        <v>167</v>
      </c>
    </row>
    <row r="64" spans="1:10" x14ac:dyDescent="0.45">
      <c r="A64" t="s">
        <v>10</v>
      </c>
      <c r="B64" t="s">
        <v>11</v>
      </c>
      <c r="C64" t="s">
        <v>165</v>
      </c>
      <c r="D64" t="s">
        <v>168</v>
      </c>
      <c r="E64" t="str">
        <f>"2"</f>
        <v>2</v>
      </c>
      <c r="F64" t="str">
        <f>"-2"</f>
        <v>-2</v>
      </c>
      <c r="G64" t="str">
        <f>"1/4"</f>
        <v>1/4</v>
      </c>
      <c r="H64" t="str">
        <f>"1/2"</f>
        <v>1/2</v>
      </c>
      <c r="I64" t="str">
        <f>"2"</f>
        <v>2</v>
      </c>
      <c r="J64" t="s">
        <v>169</v>
      </c>
    </row>
    <row r="65" spans="1:10" x14ac:dyDescent="0.45">
      <c r="A65" t="s">
        <v>10</v>
      </c>
      <c r="B65" t="s">
        <v>11</v>
      </c>
      <c r="C65" t="s">
        <v>165</v>
      </c>
      <c r="D65" t="s">
        <v>170</v>
      </c>
      <c r="E65" t="str">
        <f>"8"</f>
        <v>8</v>
      </c>
      <c r="F65" t="str">
        <f>"-8"</f>
        <v>-8</v>
      </c>
      <c r="G65" t="str">
        <f>"-16"</f>
        <v>-16</v>
      </c>
      <c r="H65" t="str">
        <f>"16"</f>
        <v>16</v>
      </c>
      <c r="I65" t="str">
        <f>"-8"</f>
        <v>-8</v>
      </c>
      <c r="J65" t="s">
        <v>171</v>
      </c>
    </row>
    <row r="66" spans="1:10" x14ac:dyDescent="0.45">
      <c r="A66" t="s">
        <v>10</v>
      </c>
      <c r="B66" t="s">
        <v>11</v>
      </c>
      <c r="C66" t="s">
        <v>165</v>
      </c>
      <c r="D66" t="s">
        <v>172</v>
      </c>
      <c r="E66" t="str">
        <f>"k = -4"</f>
        <v>k = -4</v>
      </c>
      <c r="F66" t="str">
        <f>"k = 2"</f>
        <v>k = 2</v>
      </c>
      <c r="G66" t="str">
        <f>"k = 4"</f>
        <v>k = 4</v>
      </c>
      <c r="H66" t="str">
        <f>"k = 8"</f>
        <v>k = 8</v>
      </c>
      <c r="I66" t="str">
        <f>"k = 4"</f>
        <v>k = 4</v>
      </c>
      <c r="J66" t="s">
        <v>173</v>
      </c>
    </row>
    <row r="67" spans="1:10" x14ac:dyDescent="0.45">
      <c r="A67" t="s">
        <v>10</v>
      </c>
      <c r="B67" t="s">
        <v>11</v>
      </c>
      <c r="C67" t="s">
        <v>165</v>
      </c>
      <c r="D67" t="s">
        <v>174</v>
      </c>
      <c r="E67" t="str">
        <f>"± 0.02"</f>
        <v>± 0.02</v>
      </c>
      <c r="F67" t="str">
        <f>"0.4"</f>
        <v>0.4</v>
      </c>
      <c r="G67" t="str">
        <f>"0.2 only"</f>
        <v>0.2 only</v>
      </c>
      <c r="H67" t="str">
        <f>"± 0.2"</f>
        <v>± 0.2</v>
      </c>
      <c r="I67" t="str">
        <f>"± 0.2"</f>
        <v>± 0.2</v>
      </c>
      <c r="J67" t="s">
        <v>175</v>
      </c>
    </row>
    <row r="68" spans="1:10" x14ac:dyDescent="0.45">
      <c r="A68" t="s">
        <v>10</v>
      </c>
      <c r="B68" t="s">
        <v>11</v>
      </c>
      <c r="C68" t="s">
        <v>165</v>
      </c>
      <c r="D68" t="s">
        <v>176</v>
      </c>
      <c r="E68" t="str">
        <f>"0, 8"</f>
        <v>0, 8</v>
      </c>
      <c r="F68" t="str">
        <f>"0 only"</f>
        <v>0 only</v>
      </c>
      <c r="G68" t="str">
        <f>"8 only"</f>
        <v>8 only</v>
      </c>
      <c r="H68" t="str">
        <f>"4, 8"</f>
        <v>4, 8</v>
      </c>
      <c r="I68" t="str">
        <f>"0, 8"</f>
        <v>0, 8</v>
      </c>
      <c r="J68" t="s">
        <v>177</v>
      </c>
    </row>
    <row r="69" spans="1:10" x14ac:dyDescent="0.45">
      <c r="A69" t="s">
        <v>10</v>
      </c>
      <c r="B69" t="s">
        <v>11</v>
      </c>
      <c r="C69" t="s">
        <v>165</v>
      </c>
      <c r="D69" t="s">
        <v>178</v>
      </c>
      <c r="E69" t="str">
        <f>"2"</f>
        <v>2</v>
      </c>
      <c r="F69" t="str">
        <f>"3"</f>
        <v>3</v>
      </c>
      <c r="G69" t="str">
        <f>"1"</f>
        <v>1</v>
      </c>
      <c r="H69" t="str">
        <f>"4"</f>
        <v>4</v>
      </c>
      <c r="I69" t="str">
        <f>"3"</f>
        <v>3</v>
      </c>
      <c r="J69" t="s">
        <v>179</v>
      </c>
    </row>
    <row r="70" spans="1:10" x14ac:dyDescent="0.45">
      <c r="A70" t="s">
        <v>10</v>
      </c>
      <c r="B70" t="s">
        <v>11</v>
      </c>
      <c r="C70" t="s">
        <v>165</v>
      </c>
      <c r="D70" t="s">
        <v>180</v>
      </c>
      <c r="E70" t="str">
        <f>"two distinct real roots"</f>
        <v>two distinct real roots</v>
      </c>
      <c r="F70" t="str">
        <f>"two equal real roots"</f>
        <v>two equal real roots</v>
      </c>
      <c r="G70" t="str">
        <f>"no real roots"</f>
        <v>no real roots</v>
      </c>
      <c r="H70" t="str">
        <f>"more than two real roots"</f>
        <v>more than two real roots</v>
      </c>
      <c r="I70" t="str">
        <f>"no real roots"</f>
        <v>no real roots</v>
      </c>
      <c r="J70" t="s">
        <v>181</v>
      </c>
    </row>
    <row r="71" spans="1:10" x14ac:dyDescent="0.45">
      <c r="A71" t="s">
        <v>10</v>
      </c>
      <c r="B71" t="s">
        <v>11</v>
      </c>
      <c r="C71" t="s">
        <v>165</v>
      </c>
      <c r="D71" t="s">
        <v>182</v>
      </c>
      <c r="E71" t="str">
        <f>"8"</f>
        <v>8</v>
      </c>
      <c r="F71" t="str">
        <f>"10"</f>
        <v>10</v>
      </c>
      <c r="G71" t="str">
        <f>"12"</f>
        <v>12</v>
      </c>
      <c r="H71" t="str">
        <f>"16"</f>
        <v>16</v>
      </c>
      <c r="I71" t="str">
        <f>"8"</f>
        <v>8</v>
      </c>
      <c r="J71" t="s">
        <v>183</v>
      </c>
    </row>
    <row r="72" spans="1:10" x14ac:dyDescent="0.45">
      <c r="A72" t="s">
        <v>10</v>
      </c>
      <c r="B72" t="s">
        <v>11</v>
      </c>
      <c r="C72" t="s">
        <v>165</v>
      </c>
      <c r="D72" t="s">
        <v>184</v>
      </c>
      <c r="E72" t="str">
        <f>"15"</f>
        <v>15</v>
      </c>
      <c r="F72" t="str">
        <f>"11"</f>
        <v>11</v>
      </c>
      <c r="G72" t="str">
        <f>"13"</f>
        <v>13</v>
      </c>
      <c r="H72" t="str">
        <f>"9"</f>
        <v>9</v>
      </c>
      <c r="I72" t="str">
        <f>"13"</f>
        <v>13</v>
      </c>
      <c r="J72" t="s">
        <v>185</v>
      </c>
    </row>
    <row r="73" spans="1:10" x14ac:dyDescent="0.45">
      <c r="A73" t="s">
        <v>10</v>
      </c>
      <c r="B73" t="s">
        <v>11</v>
      </c>
      <c r="C73" t="s">
        <v>165</v>
      </c>
      <c r="D73" t="s">
        <v>186</v>
      </c>
      <c r="E73" t="str">
        <f>"1/8"</f>
        <v>1/8</v>
      </c>
      <c r="F73" t="str">
        <f>"1/16"</f>
        <v>1/16</v>
      </c>
      <c r="G73" t="str">
        <f>"9/64"</f>
        <v>9/64</v>
      </c>
      <c r="H73" t="str">
        <f>"1/64"</f>
        <v>1/64</v>
      </c>
      <c r="I73" t="str">
        <f>"1/64"</f>
        <v>1/64</v>
      </c>
      <c r="J73" t="s">
        <v>187</v>
      </c>
    </row>
    <row r="74" spans="1:10" x14ac:dyDescent="0.45">
      <c r="A74" t="s">
        <v>10</v>
      </c>
      <c r="B74" t="s">
        <v>11</v>
      </c>
      <c r="C74" t="s">
        <v>165</v>
      </c>
      <c r="D74" t="s">
        <v>188</v>
      </c>
      <c r="E74" t="str">
        <f>"(a + b)/2, (a - b)/2"</f>
        <v>(a + b)/2, (a - b)/2</v>
      </c>
      <c r="F74" t="str">
        <f>"(a + b)/4, (a - b)/4"</f>
        <v>(a + b)/4, (a - b)/4</v>
      </c>
      <c r="G74" t="str">
        <f>"a + b, a - b"</f>
        <v>a + b, a - b</v>
      </c>
      <c r="H74" t="str">
        <f>"(2a + b)/2, (2a - b)/2"</f>
        <v>(2a + b)/2, (2a - b)/2</v>
      </c>
      <c r="I74" t="str">
        <f>"(a + b)/2, (a - b)/2"</f>
        <v>(a + b)/2, (a - b)/2</v>
      </c>
      <c r="J74" t="s">
        <v>189</v>
      </c>
    </row>
    <row r="75" spans="1:10" x14ac:dyDescent="0.45">
      <c r="A75" t="s">
        <v>10</v>
      </c>
      <c r="B75" t="s">
        <v>11</v>
      </c>
      <c r="C75" t="s">
        <v>165</v>
      </c>
      <c r="D75" t="s">
        <v>190</v>
      </c>
      <c r="E75" t="str">
        <f>"-1, 2"</f>
        <v>-1, 2</v>
      </c>
      <c r="F75" t="str">
        <f>"1, 2"</f>
        <v>1, 2</v>
      </c>
      <c r="G75" t="str">
        <f>"1, -2"</f>
        <v>1, -2</v>
      </c>
      <c r="H75" t="str">
        <f>"-1, -2"</f>
        <v>-1, -2</v>
      </c>
      <c r="I75" t="str">
        <f>"1, 2"</f>
        <v>1, 2</v>
      </c>
      <c r="J75" t="s">
        <v>191</v>
      </c>
    </row>
    <row r="76" spans="1:10" x14ac:dyDescent="0.45">
      <c r="A76" t="s">
        <v>10</v>
      </c>
      <c r="B76" t="s">
        <v>11</v>
      </c>
      <c r="C76" t="s">
        <v>165</v>
      </c>
      <c r="D76" t="s">
        <v>192</v>
      </c>
      <c r="E76" t="str">
        <f>"b = 0 or a³ + b³ + c³ = 3abc"</f>
        <v>b = 0 or a³ + b³ + c³ = 3abc</v>
      </c>
      <c r="F76" t="str">
        <f>"c = 0 or a³ + b³ + c³ = 3abc"</f>
        <v>c = 0 or a³ + b³ + c³ = 3abc</v>
      </c>
      <c r="G76" t="str">
        <f>"a = 0 or a³ + b³ + c³ = 3abc"</f>
        <v>a = 0 or a³ + b³ + c³ = 3abc</v>
      </c>
      <c r="H76" t="str">
        <f>"a + b + c = 0"</f>
        <v>a + b + c = 0</v>
      </c>
      <c r="I76" t="str">
        <f>"a = 0 or a³ + b³ + c³ = 3abc"</f>
        <v>a = 0 or a³ + b³ + c³ = 3abc</v>
      </c>
      <c r="J76" t="s">
        <v>193</v>
      </c>
    </row>
    <row r="77" spans="1:10" x14ac:dyDescent="0.45">
      <c r="A77" t="s">
        <v>10</v>
      </c>
      <c r="B77" t="s">
        <v>11</v>
      </c>
      <c r="C77" t="s">
        <v>165</v>
      </c>
      <c r="D77" t="s">
        <v>194</v>
      </c>
      <c r="E77" t="str">
        <f>"6 km/h"</f>
        <v>6 km/h</v>
      </c>
      <c r="F77" t="str">
        <f>"4 km/h"</f>
        <v>4 km/h</v>
      </c>
      <c r="G77" t="str">
        <f>"3 km/h"</f>
        <v>3 km/h</v>
      </c>
      <c r="H77" t="str">
        <f>"5 km/h"</f>
        <v>5 km/h</v>
      </c>
      <c r="I77" t="str">
        <f>"5 km/h"</f>
        <v>5 km/h</v>
      </c>
      <c r="J77" t="s">
        <v>195</v>
      </c>
    </row>
    <row r="78" spans="1:10" x14ac:dyDescent="0.45">
      <c r="A78" t="s">
        <v>10</v>
      </c>
      <c r="B78" t="s">
        <v>11</v>
      </c>
      <c r="C78" t="s">
        <v>165</v>
      </c>
      <c r="D78" t="s">
        <v>196</v>
      </c>
      <c r="E78" t="str">
        <f>"(3abc - b³)/a³"</f>
        <v>(3abc - b³)/a³</v>
      </c>
      <c r="F78" t="str">
        <f>"(b³ - 3abc)/a³"</f>
        <v>(b³ - 3abc)/a³</v>
      </c>
      <c r="G78" t="str">
        <f>"(3abc - b³)/a²"</f>
        <v>(3abc - b³)/a²</v>
      </c>
      <c r="H78" t="str">
        <f>"(b³ - 3abc)/a²"</f>
        <v>(b³ - 3abc)/a²</v>
      </c>
      <c r="I78" t="str">
        <f>"(3abc - b³)/a³"</f>
        <v>(3abc - b³)/a³</v>
      </c>
      <c r="J78" t="s">
        <v>197</v>
      </c>
    </row>
    <row r="79" spans="1:10" x14ac:dyDescent="0.45">
      <c r="A79" t="s">
        <v>10</v>
      </c>
      <c r="B79" t="s">
        <v>11</v>
      </c>
      <c r="C79" t="s">
        <v>165</v>
      </c>
      <c r="D79" t="s">
        <v>198</v>
      </c>
      <c r="E79" t="str">
        <f>"2"</f>
        <v>2</v>
      </c>
      <c r="F79" t="str">
        <f>"1"</f>
        <v>1</v>
      </c>
      <c r="G79" t="str">
        <f>"±1"</f>
        <v>±1</v>
      </c>
      <c r="H79" t="str">
        <f>"0"</f>
        <v>0</v>
      </c>
      <c r="I79" t="str">
        <f>"1"</f>
        <v>1</v>
      </c>
      <c r="J79" t="s">
        <v>199</v>
      </c>
    </row>
    <row r="80" spans="1:10" x14ac:dyDescent="0.45">
      <c r="A80" t="s">
        <v>10</v>
      </c>
      <c r="B80" t="s">
        <v>11</v>
      </c>
      <c r="C80" t="s">
        <v>165</v>
      </c>
      <c r="D80" t="s">
        <v>206</v>
      </c>
      <c r="E80" t="str">
        <f>"-1, 2"</f>
        <v>-1, 2</v>
      </c>
      <c r="F80" t="str">
        <f>"1, 2"</f>
        <v>1, 2</v>
      </c>
      <c r="G80" t="str">
        <f>"-1, 1"</f>
        <v>-1, 1</v>
      </c>
      <c r="H80" t="str">
        <f>"0, 1"</f>
        <v>0, 1</v>
      </c>
      <c r="I80" t="str">
        <f>"-1, 1"</f>
        <v>-1, 1</v>
      </c>
      <c r="J80" t="s">
        <v>207</v>
      </c>
    </row>
    <row r="81" spans="1:10" x14ac:dyDescent="0.45">
      <c r="A81" t="s">
        <v>10</v>
      </c>
      <c r="B81" t="s">
        <v>11</v>
      </c>
      <c r="C81" t="s">
        <v>165</v>
      </c>
      <c r="D81" t="s">
        <v>200</v>
      </c>
      <c r="E81" t="str">
        <f>"-2"</f>
        <v>-2</v>
      </c>
      <c r="F81" t="str">
        <f>"6"</f>
        <v>6</v>
      </c>
      <c r="G81" t="str">
        <f>"2"</f>
        <v>2</v>
      </c>
      <c r="H81" t="str">
        <f>"3"</f>
        <v>3</v>
      </c>
      <c r="I81" t="str">
        <f>"3"</f>
        <v>3</v>
      </c>
      <c r="J81" t="s">
        <v>201</v>
      </c>
    </row>
    <row r="82" spans="1:10" x14ac:dyDescent="0.45">
      <c r="A82" t="s">
        <v>10</v>
      </c>
      <c r="B82" t="s">
        <v>11</v>
      </c>
      <c r="C82" t="s">
        <v>165</v>
      </c>
      <c r="D82" t="s">
        <v>202</v>
      </c>
      <c r="E82" t="str">
        <f>"0"</f>
        <v>0</v>
      </c>
      <c r="F82" t="str">
        <f>"1"</f>
        <v>1</v>
      </c>
      <c r="G82" t="str">
        <f>"2"</f>
        <v>2</v>
      </c>
      <c r="H82" t="str">
        <f>"-1"</f>
        <v>-1</v>
      </c>
      <c r="I82" t="str">
        <f>"0"</f>
        <v>0</v>
      </c>
      <c r="J82" t="s">
        <v>203</v>
      </c>
    </row>
    <row r="83" spans="1:10" x14ac:dyDescent="0.45">
      <c r="A83" t="s">
        <v>10</v>
      </c>
      <c r="B83" t="s">
        <v>11</v>
      </c>
      <c r="C83" t="s">
        <v>165</v>
      </c>
      <c r="D83" t="s">
        <v>204</v>
      </c>
      <c r="E83" t="str">
        <f>"x² - (p² + 2q + p³ + 3pq)x + (p² + 2q)(p³ + 3pq) = 0"</f>
        <v>x² - (p² + 2q + p³ + 3pq)x + (p² + 2q)(p³ + 3pq) = 0</v>
      </c>
      <c r="F83" t="str">
        <f>"x² - (p² - 2q + p³ - 3pq)x + (p² - 2q)(p³ - 3pq) = 0"</f>
        <v>x² - (p² - 2q + p³ - 3pq)x + (p² - 2q)(p³ - 3pq) = 0</v>
      </c>
      <c r="G83" t="str">
        <f>"x² - (p² - q + p³ - pq)x + (p² - q)(p³ - pq) = 0"</f>
        <v>x² - (p² - q + p³ - pq)x + (p² - q)(p³ - pq) = 0</v>
      </c>
      <c r="H83" t="str">
        <f>"x² - (p³ - 3pq)x + (p² - 2q) = 0"</f>
        <v>x² - (p³ - 3pq)x + (p² - 2q) = 0</v>
      </c>
      <c r="I83" t="str">
        <f>"x² - (p² - 2q + p³ - 3pq)x + (p² - 2q)(p³ - 3pq) = 0"</f>
        <v>x² - (p² - 2q + p³ - 3pq)x + (p² - 2q)(p³ - 3pq) = 0</v>
      </c>
      <c r="J83" t="s">
        <v>205</v>
      </c>
    </row>
    <row r="84" spans="1:10" x14ac:dyDescent="0.45">
      <c r="A84" t="s">
        <v>10</v>
      </c>
      <c r="B84" t="s">
        <v>11</v>
      </c>
      <c r="C84" t="s">
        <v>208</v>
      </c>
      <c r="D84" t="s">
        <v>209</v>
      </c>
      <c r="E84" t="str">
        <f>"28"</f>
        <v>28</v>
      </c>
      <c r="F84" t="str">
        <f>"6"</f>
        <v>6</v>
      </c>
      <c r="G84" t="str">
        <f>"7"</f>
        <v>7</v>
      </c>
      <c r="H84" t="str">
        <f>"20"</f>
        <v>20</v>
      </c>
      <c r="I84" t="str">
        <f>"28"</f>
        <v>28</v>
      </c>
      <c r="J84" t="s">
        <v>210</v>
      </c>
    </row>
    <row r="85" spans="1:10" x14ac:dyDescent="0.45">
      <c r="A85" t="s">
        <v>10</v>
      </c>
      <c r="B85" t="s">
        <v>11</v>
      </c>
      <c r="C85" t="s">
        <v>208</v>
      </c>
      <c r="D85" t="s">
        <v>211</v>
      </c>
      <c r="E85" t="str">
        <f>"28"</f>
        <v>28</v>
      </c>
      <c r="F85" t="str">
        <f>"22"</f>
        <v>22</v>
      </c>
      <c r="G85" t="str">
        <f>"-38"</f>
        <v>-38</v>
      </c>
      <c r="H85" t="str">
        <f>"-46.5"</f>
        <v>-46.5</v>
      </c>
      <c r="I85" t="str">
        <f>"22"</f>
        <v>22</v>
      </c>
      <c r="J85" t="s">
        <v>212</v>
      </c>
    </row>
    <row r="86" spans="1:10" x14ac:dyDescent="0.45">
      <c r="A86" t="s">
        <v>10</v>
      </c>
      <c r="B86" t="s">
        <v>11</v>
      </c>
      <c r="C86" t="s">
        <v>208</v>
      </c>
      <c r="D86" t="s">
        <v>213</v>
      </c>
      <c r="E86" t="str">
        <f>"5"</f>
        <v>5</v>
      </c>
      <c r="F86" t="str">
        <f>"20"</f>
        <v>20</v>
      </c>
      <c r="G86" t="str">
        <f>"25"</f>
        <v>25</v>
      </c>
      <c r="H86" t="str">
        <f>"30"</f>
        <v>30</v>
      </c>
      <c r="I86" t="str">
        <f>"25"</f>
        <v>25</v>
      </c>
      <c r="J86" t="s">
        <v>214</v>
      </c>
    </row>
    <row r="87" spans="1:10" x14ac:dyDescent="0.45">
      <c r="A87" t="s">
        <v>10</v>
      </c>
      <c r="B87" t="s">
        <v>11</v>
      </c>
      <c r="C87" t="s">
        <v>208</v>
      </c>
      <c r="D87" t="s">
        <v>215</v>
      </c>
      <c r="E87" t="str">
        <f>"6th term"</f>
        <v>6th term</v>
      </c>
      <c r="F87" t="str">
        <f>"7th term"</f>
        <v>7th term</v>
      </c>
      <c r="G87" t="str">
        <f>"9th term"</f>
        <v>9th term</v>
      </c>
      <c r="H87" t="str">
        <f>"8th term"</f>
        <v>8th term</v>
      </c>
      <c r="I87" t="str">
        <f>"8th term"</f>
        <v>8th term</v>
      </c>
      <c r="J87" t="s">
        <v>216</v>
      </c>
    </row>
    <row r="88" spans="1:10" x14ac:dyDescent="0.45">
      <c r="A88" t="s">
        <v>10</v>
      </c>
      <c r="B88" t="s">
        <v>11</v>
      </c>
      <c r="C88" t="s">
        <v>208</v>
      </c>
      <c r="D88" t="s">
        <v>217</v>
      </c>
      <c r="E88" t="str">
        <f>"-2, 0, 2, 4"</f>
        <v>-2, 0, 2, 4</v>
      </c>
      <c r="F88" t="str">
        <f>"-2, -4, -6, -8"</f>
        <v>-2, -4, -6, -8</v>
      </c>
      <c r="G88" t="str">
        <f>"-2, 4, -8, 16"</f>
        <v>-2, 4, -8, 16</v>
      </c>
      <c r="H88" t="str">
        <f>"-2, -4, -8, -16"</f>
        <v>-2, -4, -8, -16</v>
      </c>
      <c r="I88" t="str">
        <f>"-2, -4, -6, -8"</f>
        <v>-2, -4, -6, -8</v>
      </c>
      <c r="J88" t="s">
        <v>218</v>
      </c>
    </row>
    <row r="89" spans="1:10" x14ac:dyDescent="0.45">
      <c r="A89" t="s">
        <v>10</v>
      </c>
      <c r="B89" t="s">
        <v>11</v>
      </c>
      <c r="C89" t="s">
        <v>208</v>
      </c>
      <c r="D89" t="s">
        <v>219</v>
      </c>
      <c r="E89" t="str">
        <f>"4th term"</f>
        <v>4th term</v>
      </c>
      <c r="F89" t="str">
        <f>"6th term"</f>
        <v>6th term</v>
      </c>
      <c r="G89" t="str">
        <f>"5th term"</f>
        <v>5th term</v>
      </c>
      <c r="H89" t="str">
        <f>"7th term"</f>
        <v>7th term</v>
      </c>
      <c r="I89" t="str">
        <f>"5th term"</f>
        <v>5th term</v>
      </c>
      <c r="J89" t="s">
        <v>220</v>
      </c>
    </row>
    <row r="90" spans="1:10" x14ac:dyDescent="0.45">
      <c r="A90" t="s">
        <v>10</v>
      </c>
      <c r="B90" t="s">
        <v>11</v>
      </c>
      <c r="C90" t="s">
        <v>208</v>
      </c>
      <c r="D90" t="s">
        <v>221</v>
      </c>
      <c r="E90" t="str">
        <f>"1000"</f>
        <v>1000</v>
      </c>
      <c r="F90" t="str">
        <f>"100"</f>
        <v>100</v>
      </c>
      <c r="G90" t="str">
        <f>"900"</f>
        <v>900</v>
      </c>
      <c r="H90" t="str">
        <f>"0"</f>
        <v>0</v>
      </c>
      <c r="I90" t="str">
        <f>"100"</f>
        <v>100</v>
      </c>
      <c r="J90" t="s">
        <v>222</v>
      </c>
    </row>
    <row r="91" spans="1:10" x14ac:dyDescent="0.45">
      <c r="A91" t="s">
        <v>10</v>
      </c>
      <c r="B91" t="s">
        <v>11</v>
      </c>
      <c r="C91" t="s">
        <v>208</v>
      </c>
      <c r="D91" t="s">
        <v>223</v>
      </c>
      <c r="E91" t="str">
        <f>"30"</f>
        <v>30</v>
      </c>
      <c r="F91" t="str">
        <f>"29"</f>
        <v>29</v>
      </c>
      <c r="G91" t="str">
        <f>"31"</f>
        <v>31</v>
      </c>
      <c r="H91" t="str">
        <f>"25"</f>
        <v>25</v>
      </c>
      <c r="I91" t="str">
        <f>"30"</f>
        <v>30</v>
      </c>
      <c r="J91" t="s">
        <v>224</v>
      </c>
    </row>
    <row r="92" spans="1:10" x14ac:dyDescent="0.45">
      <c r="A92" t="s">
        <v>10</v>
      </c>
      <c r="B92" t="s">
        <v>11</v>
      </c>
      <c r="C92" t="s">
        <v>208</v>
      </c>
      <c r="D92" t="s">
        <v>225</v>
      </c>
      <c r="E92" t="str">
        <f>"5005"</f>
        <v>5005</v>
      </c>
      <c r="F92" t="str">
        <f>"5100"</f>
        <v>5100</v>
      </c>
      <c r="G92" t="str">
        <f>"10100"</f>
        <v>10100</v>
      </c>
      <c r="H92" t="str">
        <f>"5050"</f>
        <v>5050</v>
      </c>
      <c r="I92" t="str">
        <f>"5050"</f>
        <v>5050</v>
      </c>
      <c r="J92" t="s">
        <v>226</v>
      </c>
    </row>
    <row r="93" spans="1:10" x14ac:dyDescent="0.45">
      <c r="A93" t="s">
        <v>10</v>
      </c>
      <c r="B93" t="s">
        <v>11</v>
      </c>
      <c r="C93" t="s">
        <v>208</v>
      </c>
      <c r="D93" t="s">
        <v>227</v>
      </c>
      <c r="E93" t="str">
        <f>"3"</f>
        <v>3</v>
      </c>
      <c r="F93" t="str">
        <f>"4"</f>
        <v>4</v>
      </c>
      <c r="G93" t="str">
        <f>"7"</f>
        <v>7</v>
      </c>
      <c r="H93" t="str">
        <f>"12"</f>
        <v>12</v>
      </c>
      <c r="I93" t="str">
        <f>"4"</f>
        <v>4</v>
      </c>
      <c r="J93" t="s">
        <v>228</v>
      </c>
    </row>
    <row r="94" spans="1:10" x14ac:dyDescent="0.45">
      <c r="A94" t="s">
        <v>10</v>
      </c>
      <c r="B94" t="s">
        <v>11</v>
      </c>
      <c r="C94" t="s">
        <v>208</v>
      </c>
      <c r="D94" t="s">
        <v>229</v>
      </c>
      <c r="E94" t="str">
        <f>"960"</f>
        <v>960</v>
      </c>
      <c r="F94" t="str">
        <f>"840"</f>
        <v>840</v>
      </c>
      <c r="G94" t="str">
        <f>"900"</f>
        <v>900</v>
      </c>
      <c r="H94" t="str">
        <f>"1000"</f>
        <v>1000</v>
      </c>
      <c r="I94" t="str">
        <f>"960"</f>
        <v>960</v>
      </c>
      <c r="J94" t="s">
        <v>230</v>
      </c>
    </row>
    <row r="95" spans="1:10" x14ac:dyDescent="0.45">
      <c r="A95" t="s">
        <v>10</v>
      </c>
      <c r="B95" t="s">
        <v>11</v>
      </c>
      <c r="C95" t="s">
        <v>208</v>
      </c>
      <c r="D95" t="s">
        <v>231</v>
      </c>
      <c r="E95" t="str">
        <f>"0"</f>
        <v>0</v>
      </c>
      <c r="F95" t="str">
        <f>"1"</f>
        <v>1</v>
      </c>
      <c r="G95" t="str">
        <f>"18"</f>
        <v>18</v>
      </c>
      <c r="H95" t="str">
        <f>"77"</f>
        <v>77</v>
      </c>
      <c r="I95" t="str">
        <f>"0"</f>
        <v>0</v>
      </c>
      <c r="J95" t="s">
        <v>232</v>
      </c>
    </row>
    <row r="96" spans="1:10" x14ac:dyDescent="0.45">
      <c r="A96" t="s">
        <v>10</v>
      </c>
      <c r="B96" t="s">
        <v>11</v>
      </c>
      <c r="C96" t="s">
        <v>208</v>
      </c>
      <c r="D96" t="s">
        <v>233</v>
      </c>
      <c r="E96" t="str">
        <f>"92"</f>
        <v>92</v>
      </c>
      <c r="F96" t="str">
        <f>"98"</f>
        <v>98</v>
      </c>
      <c r="G96" t="str">
        <f>"96"</f>
        <v>96</v>
      </c>
      <c r="H96" t="str">
        <f>"100"</f>
        <v>100</v>
      </c>
      <c r="I96" t="str">
        <f>"98"</f>
        <v>98</v>
      </c>
      <c r="J96" t="s">
        <v>234</v>
      </c>
    </row>
    <row r="97" spans="1:10" x14ac:dyDescent="0.45">
      <c r="A97" t="s">
        <v>10</v>
      </c>
      <c r="B97" t="s">
        <v>11</v>
      </c>
      <c r="C97" t="s">
        <v>208</v>
      </c>
      <c r="D97" t="s">
        <v>235</v>
      </c>
      <c r="E97" t="str">
        <f>"1"</f>
        <v>1</v>
      </c>
      <c r="F97" t="str">
        <f>"p + q + r"</f>
        <v>p + q + r</v>
      </c>
      <c r="G97" t="str">
        <f>"0"</f>
        <v>0</v>
      </c>
      <c r="H97" t="str">
        <f>"abc"</f>
        <v>abc</v>
      </c>
      <c r="I97" t="str">
        <f>"0"</f>
        <v>0</v>
      </c>
      <c r="J97" t="s">
        <v>236</v>
      </c>
    </row>
    <row r="98" spans="1:10" x14ac:dyDescent="0.45">
      <c r="A98" t="s">
        <v>10</v>
      </c>
      <c r="B98" t="s">
        <v>11</v>
      </c>
      <c r="C98" t="s">
        <v>208</v>
      </c>
      <c r="D98" t="s">
        <v>237</v>
      </c>
      <c r="E98" t="str">
        <f>"69336"</f>
        <v>69336</v>
      </c>
      <c r="F98" t="str">
        <f>"70000"</f>
        <v>70000</v>
      </c>
      <c r="G98" t="str">
        <f>"71336"</f>
        <v>71336</v>
      </c>
      <c r="H98" t="str">
        <f>"70336"</f>
        <v>70336</v>
      </c>
      <c r="I98" t="str">
        <f>"70336"</f>
        <v>70336</v>
      </c>
      <c r="J98" t="s">
        <v>238</v>
      </c>
    </row>
    <row r="99" spans="1:10" x14ac:dyDescent="0.45">
      <c r="A99" t="s">
        <v>10</v>
      </c>
      <c r="B99" t="s">
        <v>11</v>
      </c>
      <c r="C99" t="s">
        <v>208</v>
      </c>
      <c r="D99" t="s">
        <v>239</v>
      </c>
      <c r="E99" t="str">
        <f>"m + n"</f>
        <v>m + n</v>
      </c>
      <c r="F99" t="str">
        <f>"-(m + n)"</f>
        <v>-(m + n)</v>
      </c>
      <c r="G99" t="str">
        <f>"1"</f>
        <v>1</v>
      </c>
      <c r="H99" t="str">
        <f>"0"</f>
        <v>0</v>
      </c>
      <c r="I99" t="str">
        <f>"0"</f>
        <v>0</v>
      </c>
      <c r="J99" t="s">
        <v>240</v>
      </c>
    </row>
    <row r="100" spans="1:10" x14ac:dyDescent="0.45">
      <c r="A100" t="s">
        <v>10</v>
      </c>
      <c r="B100" t="s">
        <v>11</v>
      </c>
      <c r="C100" t="s">
        <v>208</v>
      </c>
      <c r="D100" t="s">
        <v>241</v>
      </c>
      <c r="E100" t="str">
        <f>"4 : 3"</f>
        <v>4 : 3</v>
      </c>
      <c r="F100" t="str">
        <f>"3 : 4"</f>
        <v>3 : 4</v>
      </c>
      <c r="G100" t="str">
        <f>"7 : 4"</f>
        <v>7 : 4</v>
      </c>
      <c r="H100" t="str">
        <f>"5 : 4"</f>
        <v>5 : 4</v>
      </c>
      <c r="I100" t="str">
        <f>"4 : 3"</f>
        <v>4 : 3</v>
      </c>
      <c r="J100" t="s">
        <v>242</v>
      </c>
    </row>
    <row r="101" spans="1:10" x14ac:dyDescent="0.45">
      <c r="A101" t="s">
        <v>10</v>
      </c>
      <c r="B101" t="s">
        <v>11</v>
      </c>
      <c r="C101" t="s">
        <v>208</v>
      </c>
      <c r="D101" t="s">
        <v>243</v>
      </c>
      <c r="E101" t="str">
        <f>"4, 8, 12, 16"</f>
        <v>4, 8, 12, 16</v>
      </c>
      <c r="F101" t="str">
        <f>"2, 6, 10, 14"</f>
        <v>2, 6, 10, 14</v>
      </c>
      <c r="G101" t="str">
        <f>"1, 5, 9, 13"</f>
        <v>1, 5, 9, 13</v>
      </c>
      <c r="H101" t="str">
        <f>"3, 7, 11, 15"</f>
        <v>3, 7, 11, 15</v>
      </c>
      <c r="I101" t="str">
        <f>"2, 6, 10, 14"</f>
        <v>2, 6, 10, 14</v>
      </c>
      <c r="J101" t="s">
        <v>244</v>
      </c>
    </row>
    <row r="102" spans="1:10" x14ac:dyDescent="0.45">
      <c r="A102" t="s">
        <v>10</v>
      </c>
      <c r="B102" t="s">
        <v>11</v>
      </c>
      <c r="C102" t="s">
        <v>208</v>
      </c>
      <c r="D102" t="s">
        <v>245</v>
      </c>
      <c r="E102" t="str">
        <f>"S₁₀"</f>
        <v>S₁₀</v>
      </c>
      <c r="F102" t="str">
        <f>"3S₁₀"</f>
        <v>3S₁₀</v>
      </c>
      <c r="G102" t="str">
        <f>"2S₁₀"</f>
        <v>2S₁₀</v>
      </c>
      <c r="H102" t="str">
        <f>"0"</f>
        <v>0</v>
      </c>
      <c r="I102" t="str">
        <f>"2S₁₀"</f>
        <v>2S₁₀</v>
      </c>
      <c r="J102" t="s">
        <v>246</v>
      </c>
    </row>
    <row r="103" spans="1:10" x14ac:dyDescent="0.45">
      <c r="A103" t="s">
        <v>10</v>
      </c>
      <c r="B103" t="s">
        <v>11</v>
      </c>
      <c r="C103" t="s">
        <v>208</v>
      </c>
      <c r="D103" t="s">
        <v>247</v>
      </c>
      <c r="E103" t="str">
        <f>"2"</f>
        <v>2</v>
      </c>
      <c r="F103" t="str">
        <f>"1"</f>
        <v>1</v>
      </c>
      <c r="G103" t="str">
        <f>"0"</f>
        <v>0</v>
      </c>
      <c r="H103" t="str">
        <f>"4"</f>
        <v>4</v>
      </c>
      <c r="I103" t="str">
        <f>"4"</f>
        <v>4</v>
      </c>
      <c r="J103" t="s">
        <v>248</v>
      </c>
    </row>
    <row r="104" spans="1:10" x14ac:dyDescent="0.45">
      <c r="A104" t="s">
        <v>10</v>
      </c>
      <c r="B104" t="s">
        <v>11</v>
      </c>
      <c r="C104" t="s">
        <v>208</v>
      </c>
      <c r="D104" t="s">
        <v>249</v>
      </c>
      <c r="E104" t="str">
        <f>"1972"</f>
        <v>1972</v>
      </c>
      <c r="F104" t="str">
        <f>"2172"</f>
        <v>2172</v>
      </c>
      <c r="G104" t="str">
        <f>"2050"</f>
        <v>2050</v>
      </c>
      <c r="H104" t="str">
        <f>"2072"</f>
        <v>2072</v>
      </c>
      <c r="I104" t="str">
        <f>"2072"</f>
        <v>2072</v>
      </c>
      <c r="J104" t="s">
        <v>250</v>
      </c>
    </row>
    <row r="105" spans="1:10" x14ac:dyDescent="0.45">
      <c r="A105" t="s">
        <v>10</v>
      </c>
      <c r="B105" t="s">
        <v>11</v>
      </c>
      <c r="C105" t="s">
        <v>251</v>
      </c>
      <c r="D105" t="s">
        <v>252</v>
      </c>
      <c r="E105" t="str">
        <f>"8 cm"</f>
        <v>8 cm</v>
      </c>
      <c r="F105" t="str">
        <f>"10 cm"</f>
        <v>10 cm</v>
      </c>
      <c r="G105" t="str">
        <f>"12 cm"</f>
        <v>12 cm</v>
      </c>
      <c r="H105" t="str">
        <f>"15 cm"</f>
        <v>15 cm</v>
      </c>
      <c r="I105" t="str">
        <f>"10 cm"</f>
        <v>10 cm</v>
      </c>
      <c r="J105" t="s">
        <v>253</v>
      </c>
    </row>
    <row r="106" spans="1:10" x14ac:dyDescent="0.45">
      <c r="A106" t="s">
        <v>10</v>
      </c>
      <c r="B106" t="s">
        <v>11</v>
      </c>
      <c r="C106" t="s">
        <v>251</v>
      </c>
      <c r="D106" t="s">
        <v>254</v>
      </c>
      <c r="E106" t="str">
        <f>"BC · EF = AC · FD"</f>
        <v>BC · EF = AC · FD</v>
      </c>
      <c r="F106" t="str">
        <f>"AB · EF = AC · DE"</f>
        <v>AB · EF = AC · DE</v>
      </c>
      <c r="G106" t="str">
        <f>"BC · DE = AB · FD"</f>
        <v>BC · DE = AB · FD</v>
      </c>
      <c r="H106" t="str">
        <f>"BC · DE = AB · EF"</f>
        <v>BC · DE = AB · EF</v>
      </c>
      <c r="I106" t="str">
        <f>"BC · DE = AB · EF"</f>
        <v>BC · DE = AB · EF</v>
      </c>
      <c r="J106" t="s">
        <v>255</v>
      </c>
    </row>
    <row r="107" spans="1:10" x14ac:dyDescent="0.45">
      <c r="A107" t="s">
        <v>10</v>
      </c>
      <c r="B107" t="s">
        <v>11</v>
      </c>
      <c r="C107" t="s">
        <v>251</v>
      </c>
      <c r="D107" t="s">
        <v>256</v>
      </c>
      <c r="E107" t="str">
        <f>"ΔPQR ~ ΔABC"</f>
        <v>ΔPQR ~ ΔABC</v>
      </c>
      <c r="F107" t="str">
        <f>"ΔCBA ~ ΔPQR"</f>
        <v>ΔCBA ~ ΔPQR</v>
      </c>
      <c r="G107" t="str">
        <f>"ΔBCA ~ ΔPQR"</f>
        <v>ΔBCA ~ ΔPQR</v>
      </c>
      <c r="H107" t="str">
        <f>"ΔPQR ~ ΔCAB"</f>
        <v>ΔPQR ~ ΔCAB</v>
      </c>
      <c r="I107" t="str">
        <f>"ΔPQR ~ ΔCAB"</f>
        <v>ΔPQR ~ ΔCAB</v>
      </c>
      <c r="J107" t="s">
        <v>257</v>
      </c>
    </row>
    <row r="108" spans="1:10" x14ac:dyDescent="0.45">
      <c r="A108" t="s">
        <v>10</v>
      </c>
      <c r="B108" t="s">
        <v>11</v>
      </c>
      <c r="C108" t="s">
        <v>251</v>
      </c>
      <c r="D108" t="s">
        <v>258</v>
      </c>
      <c r="E108" t="str">
        <f>"42 m"</f>
        <v>42 m</v>
      </c>
      <c r="F108" t="str">
        <f>"36 m"</f>
        <v>36 m</v>
      </c>
      <c r="G108" t="str">
        <f>"48 m"</f>
        <v>48 m</v>
      </c>
      <c r="H108" t="str">
        <f>"54 m"</f>
        <v>54 m</v>
      </c>
      <c r="I108" t="str">
        <f>"42 m"</f>
        <v>42 m</v>
      </c>
      <c r="J108" t="s">
        <v>259</v>
      </c>
    </row>
    <row r="109" spans="1:10" x14ac:dyDescent="0.45">
      <c r="A109" t="s">
        <v>10</v>
      </c>
      <c r="B109" t="s">
        <v>11</v>
      </c>
      <c r="C109" t="s">
        <v>251</v>
      </c>
      <c r="D109" t="s">
        <v>260</v>
      </c>
      <c r="E109" t="str">
        <f>"6 cm"</f>
        <v>6 cm</v>
      </c>
      <c r="F109" t="str">
        <f>"7.2 cm"</f>
        <v>7.2 cm</v>
      </c>
      <c r="G109" t="str">
        <f>"9.6 cm"</f>
        <v>9.6 cm</v>
      </c>
      <c r="H109" t="str">
        <f>"10.8 cm"</f>
        <v>10.8 cm</v>
      </c>
      <c r="I109" t="str">
        <f>"7.2 cm"</f>
        <v>7.2 cm</v>
      </c>
      <c r="J109" t="s">
        <v>261</v>
      </c>
    </row>
    <row r="110" spans="1:10" x14ac:dyDescent="0.45">
      <c r="A110" t="s">
        <v>10</v>
      </c>
      <c r="B110" t="s">
        <v>11</v>
      </c>
      <c r="C110" t="s">
        <v>251</v>
      </c>
      <c r="D110" t="s">
        <v>262</v>
      </c>
      <c r="E110" t="str">
        <f>"4 cm"</f>
        <v>4 cm</v>
      </c>
      <c r="F110" t="str">
        <f>"12 cm"</f>
        <v>12 cm</v>
      </c>
      <c r="G110" t="str">
        <f>"16 cm"</f>
        <v>16 cm</v>
      </c>
      <c r="H110" t="str">
        <f>"20 cm"</f>
        <v>20 cm</v>
      </c>
      <c r="I110" t="str">
        <f>"16 cm"</f>
        <v>16 cm</v>
      </c>
      <c r="J110" t="s">
        <v>263</v>
      </c>
    </row>
    <row r="111" spans="1:10" x14ac:dyDescent="0.45">
      <c r="A111" t="s">
        <v>10</v>
      </c>
      <c r="B111" t="s">
        <v>11</v>
      </c>
      <c r="C111" t="s">
        <v>251</v>
      </c>
      <c r="D111" t="s">
        <v>264</v>
      </c>
      <c r="E111" t="str">
        <f>"45°"</f>
        <v>45°</v>
      </c>
      <c r="F111" t="str">
        <f>"60°"</f>
        <v>60°</v>
      </c>
      <c r="G111" t="str">
        <f>"30°"</f>
        <v>30°</v>
      </c>
      <c r="H111" t="str">
        <f>"90°"</f>
        <v>90°</v>
      </c>
      <c r="I111" t="str">
        <f>"90°"</f>
        <v>90°</v>
      </c>
      <c r="J111" t="s">
        <v>265</v>
      </c>
    </row>
    <row r="112" spans="1:10" x14ac:dyDescent="0.45">
      <c r="A112" t="s">
        <v>10</v>
      </c>
      <c r="B112" t="s">
        <v>11</v>
      </c>
      <c r="C112" t="s">
        <v>251</v>
      </c>
      <c r="D112" t="s">
        <v>266</v>
      </c>
      <c r="E112" t="str">
        <f>"12 cm"</f>
        <v>12 cm</v>
      </c>
      <c r="F112" t="str">
        <f>"15 cm"</f>
        <v>15 cm</v>
      </c>
      <c r="G112" t="str">
        <f>"18 cm"</f>
        <v>18 cm</v>
      </c>
      <c r="H112" t="str">
        <f>"20 cm"</f>
        <v>20 cm</v>
      </c>
      <c r="I112" t="str">
        <f>"15 cm"</f>
        <v>15 cm</v>
      </c>
      <c r="J112" t="s">
        <v>267</v>
      </c>
    </row>
    <row r="113" spans="1:10" x14ac:dyDescent="0.45">
      <c r="A113" t="s">
        <v>10</v>
      </c>
      <c r="B113" t="s">
        <v>11</v>
      </c>
      <c r="C113" t="s">
        <v>251</v>
      </c>
      <c r="D113" t="s">
        <v>268</v>
      </c>
      <c r="E113" t="str">
        <f>"4 cm"</f>
        <v>4 cm</v>
      </c>
      <c r="F113" t="str">
        <f>"5 cm"</f>
        <v>5 cm</v>
      </c>
      <c r="G113" t="str">
        <f>"4.5 cm"</f>
        <v>4.5 cm</v>
      </c>
      <c r="H113" t="str">
        <f>"6 cm"</f>
        <v>6 cm</v>
      </c>
      <c r="I113" t="str">
        <f>"4 cm"</f>
        <v>4 cm</v>
      </c>
      <c r="J113" t="s">
        <v>269</v>
      </c>
    </row>
    <row r="114" spans="1:10" x14ac:dyDescent="0.45">
      <c r="A114" t="s">
        <v>10</v>
      </c>
      <c r="B114" t="s">
        <v>11</v>
      </c>
      <c r="C114" t="s">
        <v>251</v>
      </c>
      <c r="D114" t="s">
        <v>270</v>
      </c>
      <c r="E114" t="str">
        <f>"5 cm"</f>
        <v>5 cm</v>
      </c>
      <c r="F114" t="str">
        <f>"6 cm"</f>
        <v>6 cm</v>
      </c>
      <c r="G114" t="str">
        <f>"6.5 cm"</f>
        <v>6.5 cm</v>
      </c>
      <c r="H114" t="str">
        <f>"7 cm"</f>
        <v>7 cm</v>
      </c>
      <c r="I114" t="str">
        <f>"6 cm"</f>
        <v>6 cm</v>
      </c>
      <c r="J114" t="s">
        <v>271</v>
      </c>
    </row>
    <row r="115" spans="1:10" x14ac:dyDescent="0.45">
      <c r="A115" t="s">
        <v>10</v>
      </c>
      <c r="B115" t="s">
        <v>11</v>
      </c>
      <c r="C115" t="s">
        <v>251</v>
      </c>
      <c r="D115" t="s">
        <v>272</v>
      </c>
      <c r="E115" t="str">
        <f>"3"</f>
        <v>3</v>
      </c>
      <c r="F115" t="str">
        <f>"1/9"</f>
        <v>1/9</v>
      </c>
      <c r="G115" t="str">
        <f>"9"</f>
        <v>9</v>
      </c>
      <c r="H115" t="str">
        <f>"1/3"</f>
        <v>1/3</v>
      </c>
      <c r="I115" t="str">
        <f>"9"</f>
        <v>9</v>
      </c>
      <c r="J115" t="s">
        <v>273</v>
      </c>
    </row>
    <row r="116" spans="1:10" x14ac:dyDescent="0.45">
      <c r="A116" t="s">
        <v>10</v>
      </c>
      <c r="B116" t="s">
        <v>11</v>
      </c>
      <c r="C116" t="s">
        <v>251</v>
      </c>
      <c r="D116" t="s">
        <v>274</v>
      </c>
      <c r="E116" t="str">
        <f>"1 : √2"</f>
        <v>1 : √2</v>
      </c>
      <c r="F116" t="str">
        <f>"1 : 2"</f>
        <v>1 : 2</v>
      </c>
      <c r="G116" t="str">
        <f>"1 : 4"</f>
        <v>1 : 4</v>
      </c>
      <c r="H116" t="str">
        <f>"1 : 3"</f>
        <v>1 : 3</v>
      </c>
      <c r="I116" t="str">
        <f>"1 : √2"</f>
        <v>1 : √2</v>
      </c>
      <c r="J116" t="s">
        <v>275</v>
      </c>
    </row>
    <row r="117" spans="1:10" x14ac:dyDescent="0.45">
      <c r="A117" t="s">
        <v>10</v>
      </c>
      <c r="B117" t="s">
        <v>11</v>
      </c>
      <c r="C117" t="s">
        <v>251</v>
      </c>
      <c r="D117" t="s">
        <v>276</v>
      </c>
      <c r="E117" t="str">
        <f>"1/a² - 1/b²"</f>
        <v>1/a² - 1/b²</v>
      </c>
      <c r="F117" t="str">
        <f>"a² + b²"</f>
        <v>a² + b²</v>
      </c>
      <c r="G117" t="str">
        <f>"1/a² + 1/b²"</f>
        <v>1/a² + 1/b²</v>
      </c>
      <c r="H117" t="str">
        <f>"1/(a² + b²)"</f>
        <v>1/(a² + b²)</v>
      </c>
      <c r="I117" t="str">
        <f>"1/a² + 1/b²"</f>
        <v>1/a² + 1/b²</v>
      </c>
      <c r="J117" t="s">
        <v>277</v>
      </c>
    </row>
    <row r="118" spans="1:10" x14ac:dyDescent="0.45">
      <c r="A118" t="s">
        <v>10</v>
      </c>
      <c r="B118" t="s">
        <v>11</v>
      </c>
      <c r="C118" t="s">
        <v>251</v>
      </c>
      <c r="D118" t="s">
        <v>278</v>
      </c>
      <c r="E118" t="str">
        <f>"√3 a"</f>
        <v>√3 a</v>
      </c>
      <c r="F118" t="str">
        <f>"(√3 / 4) a²"</f>
        <v>(√3 / 4) a²</v>
      </c>
      <c r="G118" t="str">
        <f>"(1 / 2) a"</f>
        <v>(1 / 2) a</v>
      </c>
      <c r="H118" t="str">
        <f>"(√3 / 2) a"</f>
        <v>(√3 / 2) a</v>
      </c>
      <c r="I118" t="str">
        <f>"(√3 / 2) a"</f>
        <v>(√3 / 2) a</v>
      </c>
      <c r="J118" t="s">
        <v>279</v>
      </c>
    </row>
    <row r="119" spans="1:10" x14ac:dyDescent="0.45">
      <c r="A119" t="s">
        <v>10</v>
      </c>
      <c r="B119" t="s">
        <v>11</v>
      </c>
      <c r="C119" t="s">
        <v>251</v>
      </c>
      <c r="D119" t="s">
        <v>280</v>
      </c>
      <c r="E119" t="str">
        <f>"1 : 4"</f>
        <v>1 : 4</v>
      </c>
      <c r="F119" t="str">
        <f>"1 : 2"</f>
        <v>1 : 2</v>
      </c>
      <c r="G119" t="str">
        <f>"1 : 3"</f>
        <v>1 : 3</v>
      </c>
      <c r="H119" t="str">
        <f>"2 : 3"</f>
        <v>2 : 3</v>
      </c>
      <c r="I119" t="str">
        <f>"1 : 4"</f>
        <v>1 : 4</v>
      </c>
      <c r="J119" t="s">
        <v>281</v>
      </c>
    </row>
    <row r="120" spans="1:10" x14ac:dyDescent="0.45">
      <c r="A120" t="s">
        <v>10</v>
      </c>
      <c r="B120" t="s">
        <v>11</v>
      </c>
      <c r="C120" t="s">
        <v>251</v>
      </c>
      <c r="D120" t="s">
        <v>282</v>
      </c>
      <c r="E120" t="str">
        <f>"13 : 5"</f>
        <v>13 : 5</v>
      </c>
      <c r="F120" t="str">
        <f>"169 : 25"</f>
        <v>169 : 25</v>
      </c>
      <c r="G120" t="str">
        <f>"144 : 25"</f>
        <v>144 : 25</v>
      </c>
      <c r="H120" t="str">
        <f>"169 : 144"</f>
        <v>169 : 144</v>
      </c>
      <c r="I120" t="str">
        <f>"169 : 25"</f>
        <v>169 : 25</v>
      </c>
      <c r="J120" t="s">
        <v>283</v>
      </c>
    </row>
    <row r="121" spans="1:10" x14ac:dyDescent="0.45">
      <c r="A121" t="s">
        <v>10</v>
      </c>
      <c r="B121" t="s">
        <v>11</v>
      </c>
      <c r="C121" t="s">
        <v>251</v>
      </c>
      <c r="D121" t="s">
        <v>284</v>
      </c>
      <c r="E121" t="str">
        <f>"12 cm"</f>
        <v>12 cm</v>
      </c>
      <c r="F121" t="str">
        <f>"14 cm"</f>
        <v>14 cm</v>
      </c>
      <c r="G121" t="str">
        <f>"16 cm"</f>
        <v>16 cm</v>
      </c>
      <c r="H121" t="str">
        <f>"18 cm"</f>
        <v>18 cm</v>
      </c>
      <c r="I121" t="str">
        <f>"16 cm"</f>
        <v>16 cm</v>
      </c>
      <c r="J121" t="s">
        <v>285</v>
      </c>
    </row>
    <row r="122" spans="1:10" x14ac:dyDescent="0.45">
      <c r="A122" t="s">
        <v>10</v>
      </c>
      <c r="B122" t="s">
        <v>11</v>
      </c>
      <c r="C122" t="s">
        <v>251</v>
      </c>
      <c r="D122" t="s">
        <v>286</v>
      </c>
      <c r="E122" t="str">
        <f>"6 AB²"</f>
        <v>6 AB²</v>
      </c>
      <c r="F122" t="str">
        <f>"8 AB²"</f>
        <v>8 AB²</v>
      </c>
      <c r="G122" t="str">
        <f>"5 AB²"</f>
        <v>5 AB²</v>
      </c>
      <c r="H122" t="str">
        <f>"7 AB²"</f>
        <v>7 AB²</v>
      </c>
      <c r="I122" t="str">
        <f>"7 AB²"</f>
        <v>7 AB²</v>
      </c>
      <c r="J122" t="s">
        <v>287</v>
      </c>
    </row>
    <row r="123" spans="1:10" x14ac:dyDescent="0.45">
      <c r="A123" t="s">
        <v>10</v>
      </c>
      <c r="B123" t="s">
        <v>11</v>
      </c>
      <c r="C123" t="s">
        <v>251</v>
      </c>
      <c r="D123" t="s">
        <v>288</v>
      </c>
      <c r="E123" t="str">
        <f>"3 BC²"</f>
        <v>3 BC²</v>
      </c>
      <c r="F123" t="str">
        <f>"5 BC²"</f>
        <v>5 BC²</v>
      </c>
      <c r="G123" t="str">
        <f>"4 BC²"</f>
        <v>4 BC²</v>
      </c>
      <c r="H123" t="str">
        <f>"2 BC²"</f>
        <v>2 BC²</v>
      </c>
      <c r="I123" t="str">
        <f>"5 BC²"</f>
        <v>5 BC²</v>
      </c>
      <c r="J123" t="s">
        <v>289</v>
      </c>
    </row>
    <row r="124" spans="1:10" x14ac:dyDescent="0.45">
      <c r="A124" t="s">
        <v>10</v>
      </c>
      <c r="B124" t="s">
        <v>11</v>
      </c>
      <c r="C124" t="s">
        <v>251</v>
      </c>
      <c r="D124" t="s">
        <v>290</v>
      </c>
      <c r="E124" t="str">
        <f>"OA² + OB²"</f>
        <v>OA² + OB²</v>
      </c>
      <c r="F124" t="str">
        <f>"OC² + OD²"</f>
        <v>OC² + OD²</v>
      </c>
      <c r="G124" t="str">
        <f>"OA² + OC²"</f>
        <v>OA² + OC²</v>
      </c>
      <c r="H124" t="str">
        <f>"2 OA²"</f>
        <v>2 OA²</v>
      </c>
      <c r="I124" t="str">
        <f>"OA² + OC²"</f>
        <v>OA² + OC²</v>
      </c>
      <c r="J124" t="s">
        <v>291</v>
      </c>
    </row>
    <row r="125" spans="1:10" x14ac:dyDescent="0.45">
      <c r="A125" t="s">
        <v>10</v>
      </c>
      <c r="B125" t="s">
        <v>11</v>
      </c>
      <c r="C125" t="s">
        <v>251</v>
      </c>
      <c r="D125" t="s">
        <v>292</v>
      </c>
      <c r="E125" t="str">
        <f>"60°"</f>
        <v>60°</v>
      </c>
      <c r="F125" t="str">
        <f>"45°"</f>
        <v>45°</v>
      </c>
      <c r="G125" t="str">
        <f>"120°"</f>
        <v>120°</v>
      </c>
      <c r="H125" t="str">
        <f>"90°"</f>
        <v>90°</v>
      </c>
      <c r="I125" t="str">
        <f>"90°"</f>
        <v>90°</v>
      </c>
      <c r="J125" t="s">
        <v>293</v>
      </c>
    </row>
    <row r="126" spans="1:10" x14ac:dyDescent="0.45">
      <c r="A126" t="s">
        <v>10</v>
      </c>
      <c r="B126" t="s">
        <v>11</v>
      </c>
      <c r="C126" t="s">
        <v>294</v>
      </c>
      <c r="D126" t="s">
        <v>295</v>
      </c>
      <c r="E126" t="str">
        <f>"6 units"</f>
        <v>6 units</v>
      </c>
      <c r="F126" t="str">
        <f>"10 units"</f>
        <v>10 units</v>
      </c>
      <c r="G126" t="str">
        <f>"8 units"</f>
        <v>8 units</v>
      </c>
      <c r="H126" t="str">
        <f>"14 units"</f>
        <v>14 units</v>
      </c>
      <c r="I126" t="str">
        <f>"10 units"</f>
        <v>10 units</v>
      </c>
      <c r="J126" t="s">
        <v>296</v>
      </c>
    </row>
    <row r="127" spans="1:10" x14ac:dyDescent="0.45">
      <c r="A127" t="s">
        <v>10</v>
      </c>
      <c r="B127" t="s">
        <v>11</v>
      </c>
      <c r="C127" t="s">
        <v>294</v>
      </c>
      <c r="D127" t="s">
        <v>297</v>
      </c>
      <c r="E127" t="str">
        <f>"6 units"</f>
        <v>6 units</v>
      </c>
      <c r="F127" t="str">
        <f>"4 units"</f>
        <v>4 units</v>
      </c>
      <c r="G127" t="str">
        <f>"8 units"</f>
        <v>8 units</v>
      </c>
      <c r="H127" t="str">
        <f>"2 units"</f>
        <v>2 units</v>
      </c>
      <c r="I127" t="str">
        <f>"8 units"</f>
        <v>8 units</v>
      </c>
      <c r="J127" t="s">
        <v>298</v>
      </c>
    </row>
    <row r="128" spans="1:10" x14ac:dyDescent="0.45">
      <c r="A128" t="s">
        <v>10</v>
      </c>
      <c r="B128" t="s">
        <v>11</v>
      </c>
      <c r="C128" t="s">
        <v>294</v>
      </c>
      <c r="D128" t="s">
        <v>299</v>
      </c>
      <c r="E128" t="str">
        <f>"3, 5"</f>
        <v>3, 5</v>
      </c>
      <c r="F128" t="str">
        <f>"(4, 5)"</f>
        <v>(4, 5)</v>
      </c>
      <c r="G128" t="str">
        <f>"(5, 6)"</f>
        <v>(5, 6)</v>
      </c>
      <c r="H128" t="str">
        <f>"(4, 6)"</f>
        <v>(4, 6)</v>
      </c>
      <c r="I128" t="str">
        <f>"(4, 6)"</f>
        <v>(4, 6)</v>
      </c>
      <c r="J128" t="s">
        <v>300</v>
      </c>
    </row>
    <row r="129" spans="1:10" x14ac:dyDescent="0.45">
      <c r="A129" t="s">
        <v>10</v>
      </c>
      <c r="B129" t="s">
        <v>11</v>
      </c>
      <c r="C129" t="s">
        <v>294</v>
      </c>
      <c r="D129" t="s">
        <v>301</v>
      </c>
      <c r="E129" t="str">
        <f>"4 units"</f>
        <v>4 units</v>
      </c>
      <c r="F129" t="str">
        <f>"3 units"</f>
        <v>3 units</v>
      </c>
      <c r="G129" t="str">
        <f>"5 units"</f>
        <v>5 units</v>
      </c>
      <c r="H129" t="str">
        <f>"7 units"</f>
        <v>7 units</v>
      </c>
      <c r="I129" t="str">
        <f>"4 units"</f>
        <v>4 units</v>
      </c>
      <c r="J129" t="s">
        <v>302</v>
      </c>
    </row>
    <row r="130" spans="1:10" x14ac:dyDescent="0.45">
      <c r="A130" t="s">
        <v>10</v>
      </c>
      <c r="B130" t="s">
        <v>11</v>
      </c>
      <c r="C130" t="s">
        <v>294</v>
      </c>
      <c r="D130" t="s">
        <v>303</v>
      </c>
      <c r="E130" t="str">
        <f>"-4"</f>
        <v>-4</v>
      </c>
      <c r="F130" t="str">
        <f>"-12"</f>
        <v>-12</v>
      </c>
      <c r="G130" t="str">
        <f>"-6"</f>
        <v>-6</v>
      </c>
      <c r="H130" t="str">
        <f>"12"</f>
        <v>12</v>
      </c>
      <c r="I130" t="str">
        <f>"-12"</f>
        <v>-12</v>
      </c>
      <c r="J130" t="s">
        <v>304</v>
      </c>
    </row>
    <row r="131" spans="1:10" x14ac:dyDescent="0.45">
      <c r="A131" t="s">
        <v>10</v>
      </c>
      <c r="B131" t="s">
        <v>11</v>
      </c>
      <c r="C131" t="s">
        <v>294</v>
      </c>
      <c r="D131" t="s">
        <v>305</v>
      </c>
      <c r="E131" t="str">
        <f>"7 units"</f>
        <v>7 units</v>
      </c>
      <c r="F131" t="str">
        <f>"11 units"</f>
        <v>11 units</v>
      </c>
      <c r="G131" t="str">
        <f>"12 units"</f>
        <v>12 units</v>
      </c>
      <c r="H131" t="str">
        <f>"5 units"</f>
        <v>5 units</v>
      </c>
      <c r="I131" t="str">
        <f>"12 units"</f>
        <v>12 units</v>
      </c>
      <c r="J131" t="s">
        <v>306</v>
      </c>
    </row>
    <row r="132" spans="1:10" x14ac:dyDescent="0.45">
      <c r="A132" t="s">
        <v>10</v>
      </c>
      <c r="B132" t="s">
        <v>11</v>
      </c>
      <c r="C132" t="s">
        <v>294</v>
      </c>
      <c r="D132" t="s">
        <v>307</v>
      </c>
      <c r="E132" t="str">
        <f>"1 : 5"</f>
        <v>1 : 5</v>
      </c>
      <c r="F132" t="str">
        <f>"5 : 1"</f>
        <v>5 : 1</v>
      </c>
      <c r="G132" t="str">
        <f>"2 : 3"</f>
        <v>2 : 3</v>
      </c>
      <c r="H132" t="str">
        <f>"3 : 2"</f>
        <v>3 : 2</v>
      </c>
      <c r="I132" t="str">
        <f>"5 : 1"</f>
        <v>5 : 1</v>
      </c>
      <c r="J132" t="s">
        <v>308</v>
      </c>
    </row>
    <row r="133" spans="1:10" x14ac:dyDescent="0.45">
      <c r="A133" t="s">
        <v>10</v>
      </c>
      <c r="B133" t="s">
        <v>11</v>
      </c>
      <c r="C133" t="s">
        <v>294</v>
      </c>
      <c r="D133" t="s">
        <v>309</v>
      </c>
      <c r="E133" t="str">
        <f>"I"</f>
        <v>I</v>
      </c>
      <c r="F133" t="str">
        <f>"II"</f>
        <v>II</v>
      </c>
      <c r="G133" t="str">
        <f>"IV"</f>
        <v>IV</v>
      </c>
      <c r="H133" t="str">
        <f>"III"</f>
        <v>III</v>
      </c>
      <c r="I133" t="str">
        <f>"IV"</f>
        <v>IV</v>
      </c>
      <c r="J133" t="s">
        <v>310</v>
      </c>
    </row>
    <row r="134" spans="1:10" x14ac:dyDescent="0.45">
      <c r="A134" t="s">
        <v>10</v>
      </c>
      <c r="B134" t="s">
        <v>11</v>
      </c>
      <c r="C134" t="s">
        <v>294</v>
      </c>
      <c r="D134" t="s">
        <v>311</v>
      </c>
      <c r="E134" t="str">
        <f>"3 and 6"</f>
        <v>3 and 6</v>
      </c>
      <c r="F134" t="str">
        <f>"5 and 2"</f>
        <v>5 and 2</v>
      </c>
      <c r="G134" t="str">
        <f>"6 and 3"</f>
        <v>6 and 3</v>
      </c>
      <c r="H134" t="str">
        <f>"2 and 5"</f>
        <v>2 and 5</v>
      </c>
      <c r="I134" t="str">
        <f>"6 and 3"</f>
        <v>6 and 3</v>
      </c>
      <c r="J134" t="s">
        <v>312</v>
      </c>
    </row>
    <row r="135" spans="1:10" x14ac:dyDescent="0.45">
      <c r="A135" t="s">
        <v>10</v>
      </c>
      <c r="B135" t="s">
        <v>11</v>
      </c>
      <c r="C135" t="s">
        <v>294</v>
      </c>
      <c r="D135" t="s">
        <v>313</v>
      </c>
      <c r="E135" t="str">
        <f>"2 and 5"</f>
        <v>2 and 5</v>
      </c>
      <c r="F135" t="str">
        <f>"4 and 3"</f>
        <v>4 and 3</v>
      </c>
      <c r="G135" t="str">
        <f>"5 and 2"</f>
        <v>5 and 2</v>
      </c>
      <c r="H135" t="str">
        <f>"3 and 4"</f>
        <v>3 and 4</v>
      </c>
      <c r="I135" t="str">
        <f>"5 and 2"</f>
        <v>5 and 2</v>
      </c>
      <c r="J135" t="s">
        <v>314</v>
      </c>
    </row>
    <row r="136" spans="1:10" x14ac:dyDescent="0.45">
      <c r="A136" t="s">
        <v>10</v>
      </c>
      <c r="B136" t="s">
        <v>11</v>
      </c>
      <c r="C136" t="s">
        <v>294</v>
      </c>
      <c r="D136" t="s">
        <v>315</v>
      </c>
      <c r="E136" t="str">
        <f>"36 sq units"</f>
        <v>36 sq units</v>
      </c>
      <c r="F136" t="str">
        <f>"64 sq units"</f>
        <v>64 sq units</v>
      </c>
      <c r="G136" t="str">
        <f>"80 sq units"</f>
        <v>80 sq units</v>
      </c>
      <c r="H136" t="str">
        <f>"72 sq units"</f>
        <v>72 sq units</v>
      </c>
      <c r="I136" t="str">
        <f>"72 sq units"</f>
        <v>72 sq units</v>
      </c>
      <c r="J136" t="s">
        <v>316</v>
      </c>
    </row>
    <row r="137" spans="1:10" x14ac:dyDescent="0.45">
      <c r="A137" t="s">
        <v>10</v>
      </c>
      <c r="B137" t="s">
        <v>11</v>
      </c>
      <c r="C137" t="s">
        <v>294</v>
      </c>
      <c r="D137" t="s">
        <v>317</v>
      </c>
      <c r="E137" t="str">
        <f>"(-7, 0)"</f>
        <v>(-7, 0)</v>
      </c>
      <c r="F137" t="str">
        <f>"(7, 0)"</f>
        <v>(7, 0)</v>
      </c>
      <c r="G137" t="str">
        <f>"(0, -7)"</f>
        <v>(0, -7)</v>
      </c>
      <c r="H137" t="str">
        <f>"(-6, 0)"</f>
        <v>(-6, 0)</v>
      </c>
      <c r="I137" t="str">
        <f>"(-7, 0)"</f>
        <v>(-7, 0)</v>
      </c>
      <c r="J137" t="s">
        <v>318</v>
      </c>
    </row>
    <row r="138" spans="1:10" x14ac:dyDescent="0.45">
      <c r="A138" t="s">
        <v>10</v>
      </c>
      <c r="B138" t="s">
        <v>11</v>
      </c>
      <c r="C138" t="s">
        <v>294</v>
      </c>
      <c r="D138" t="s">
        <v>319</v>
      </c>
      <c r="E138" t="str">
        <f>"(2, 3)"</f>
        <v>(2, 3)</v>
      </c>
      <c r="F138" t="str">
        <f>"(1, 3)"</f>
        <v>(1, 3)</v>
      </c>
      <c r="G138" t="str">
        <f>"(1, 4)"</f>
        <v>(1, 4)</v>
      </c>
      <c r="H138" t="str">
        <f>"(3, 1)"</f>
        <v>(3, 1)</v>
      </c>
      <c r="I138" t="str">
        <f>"(1, 3)"</f>
        <v>(1, 3)</v>
      </c>
      <c r="J138" t="s">
        <v>320</v>
      </c>
    </row>
    <row r="139" spans="1:10" x14ac:dyDescent="0.45">
      <c r="A139" t="s">
        <v>10</v>
      </c>
      <c r="B139" t="s">
        <v>11</v>
      </c>
      <c r="C139" t="s">
        <v>294</v>
      </c>
      <c r="D139" t="s">
        <v>321</v>
      </c>
      <c r="E139" t="str">
        <f>"(4, 3)"</f>
        <v>(4, 3)</v>
      </c>
      <c r="F139" t="str">
        <f>"(6, 8)"</f>
        <v>(6, 8)</v>
      </c>
      <c r="G139" t="str">
        <f>"(3, 4)"</f>
        <v>(3, 4)</v>
      </c>
      <c r="H139" t="str">
        <f>"(2, 3)"</f>
        <v>(2, 3)</v>
      </c>
      <c r="I139" t="str">
        <f>"(3, 4)"</f>
        <v>(3, 4)</v>
      </c>
      <c r="J139" t="s">
        <v>322</v>
      </c>
    </row>
    <row r="140" spans="1:10" x14ac:dyDescent="0.45">
      <c r="A140" t="s">
        <v>10</v>
      </c>
      <c r="B140" t="s">
        <v>11</v>
      </c>
      <c r="C140" t="s">
        <v>294</v>
      </c>
      <c r="D140" t="s">
        <v>323</v>
      </c>
      <c r="E140" t="str">
        <f>"4 only"</f>
        <v>4 only</v>
      </c>
      <c r="F140" t="str">
        <f>"-4 only"</f>
        <v>-4 only</v>
      </c>
      <c r="G140" t="str">
        <f>"± 3"</f>
        <v>± 3</v>
      </c>
      <c r="H140" t="str">
        <f>"± 4"</f>
        <v>± 4</v>
      </c>
      <c r="I140" t="str">
        <f>"± 4"</f>
        <v>± 4</v>
      </c>
      <c r="J140" t="s">
        <v>324</v>
      </c>
    </row>
    <row r="141" spans="1:10" x14ac:dyDescent="0.45">
      <c r="A141" t="s">
        <v>10</v>
      </c>
      <c r="B141" t="s">
        <v>11</v>
      </c>
      <c r="C141" t="s">
        <v>294</v>
      </c>
      <c r="D141" t="s">
        <v>325</v>
      </c>
      <c r="E141" t="str">
        <f>"(14/3, 7/3)"</f>
        <v>(14/3, 7/3)</v>
      </c>
      <c r="F141" t="str">
        <f>"(19/3, 17/3)"</f>
        <v>(19/3, 17/3)</v>
      </c>
      <c r="G141" t="str">
        <f>"(4, 2)"</f>
        <v>(4, 2)</v>
      </c>
      <c r="H141" t="str">
        <f>"(5, 3)"</f>
        <v>(5, 3)</v>
      </c>
      <c r="I141" t="str">
        <f>"(14/3, 7/3)"</f>
        <v>(14/3, 7/3)</v>
      </c>
      <c r="J141" t="s">
        <v>326</v>
      </c>
    </row>
    <row r="142" spans="1:10" x14ac:dyDescent="0.45">
      <c r="A142" t="s">
        <v>10</v>
      </c>
      <c r="B142" t="s">
        <v>11</v>
      </c>
      <c r="C142" t="s">
        <v>294</v>
      </c>
      <c r="D142" t="s">
        <v>327</v>
      </c>
      <c r="E142" t="str">
        <f>"x + 3y = 5"</f>
        <v>x + 3y = 5</v>
      </c>
      <c r="F142" t="str">
        <f>"3x + y = 5"</f>
        <v>3x + y = 5</v>
      </c>
      <c r="G142" t="str">
        <f>"3x - y = 5"</f>
        <v>3x - y = 5</v>
      </c>
      <c r="H142" t="str">
        <f>"x - 3y = 5"</f>
        <v>x - 3y = 5</v>
      </c>
      <c r="I142" t="str">
        <f>"3x + y = 5"</f>
        <v>3x + y = 5</v>
      </c>
      <c r="J142" t="s">
        <v>328</v>
      </c>
    </row>
    <row r="143" spans="1:10" x14ac:dyDescent="0.45">
      <c r="A143" t="s">
        <v>10</v>
      </c>
      <c r="B143" t="s">
        <v>11</v>
      </c>
      <c r="C143" t="s">
        <v>294</v>
      </c>
      <c r="D143" t="s">
        <v>329</v>
      </c>
      <c r="E143" t="str">
        <f>"9 : 2"</f>
        <v>9 : 2</v>
      </c>
      <c r="F143" t="str">
        <f>"2 : 7"</f>
        <v>2 : 7</v>
      </c>
      <c r="G143" t="str">
        <f>"2 : 9"</f>
        <v>2 : 9</v>
      </c>
      <c r="H143" t="str">
        <f>"7 : 2"</f>
        <v>7 : 2</v>
      </c>
      <c r="I143" t="str">
        <f>"2 : 9"</f>
        <v>2 : 9</v>
      </c>
      <c r="J143" t="s">
        <v>330</v>
      </c>
    </row>
    <row r="144" spans="1:10" x14ac:dyDescent="0.45">
      <c r="A144" t="s">
        <v>10</v>
      </c>
      <c r="B144" t="s">
        <v>11</v>
      </c>
      <c r="C144" t="s">
        <v>294</v>
      </c>
      <c r="D144" t="s">
        <v>331</v>
      </c>
      <c r="E144" t="str">
        <f>"3"</f>
        <v>3</v>
      </c>
      <c r="F144" t="str">
        <f>"1"</f>
        <v>1</v>
      </c>
      <c r="G144" t="str">
        <f>"4"</f>
        <v>4</v>
      </c>
      <c r="H144" t="str">
        <f>"2"</f>
        <v>2</v>
      </c>
      <c r="I144" t="str">
        <f>"2"</f>
        <v>2</v>
      </c>
      <c r="J144" t="s">
        <v>332</v>
      </c>
    </row>
    <row r="145" spans="1:10" x14ac:dyDescent="0.45">
      <c r="A145" t="s">
        <v>10</v>
      </c>
      <c r="B145" t="s">
        <v>11</v>
      </c>
      <c r="C145" t="s">
        <v>294</v>
      </c>
      <c r="D145" t="s">
        <v>333</v>
      </c>
      <c r="E145" t="str">
        <f>"2, 4"</f>
        <v>2, 4</v>
      </c>
      <c r="F145" t="str">
        <f>"1, 5"</f>
        <v>1, 5</v>
      </c>
      <c r="G145" t="str">
        <f>"3, 5"</f>
        <v>3, 5</v>
      </c>
      <c r="H145" t="str">
        <f>"3, 6"</f>
        <v>3, 6</v>
      </c>
      <c r="I145" t="str">
        <f>"3, 5"</f>
        <v>3, 5</v>
      </c>
      <c r="J145" t="s">
        <v>334</v>
      </c>
    </row>
    <row r="146" spans="1:10" x14ac:dyDescent="0.45">
      <c r="A146" t="s">
        <v>10</v>
      </c>
      <c r="B146" t="s">
        <v>11</v>
      </c>
      <c r="C146" t="s">
        <v>294</v>
      </c>
      <c r="D146" t="s">
        <v>335</v>
      </c>
      <c r="E146" t="str">
        <f>"11/3"</f>
        <v>11/3</v>
      </c>
      <c r="F146" t="str">
        <f>"5/3"</f>
        <v>5/3</v>
      </c>
      <c r="G146" t="str">
        <f>"4/3"</f>
        <v>4/3</v>
      </c>
      <c r="H146" t="str">
        <f>"7/3"</f>
        <v>7/3</v>
      </c>
      <c r="I146" t="str">
        <f>"11/3"</f>
        <v>11/3</v>
      </c>
      <c r="J146" t="s">
        <v>336</v>
      </c>
    </row>
    <row r="147" spans="1:10" x14ac:dyDescent="0.45">
      <c r="A147" t="s">
        <v>10</v>
      </c>
      <c r="B147" t="s">
        <v>11</v>
      </c>
      <c r="C147" t="s">
        <v>337</v>
      </c>
      <c r="D147" t="s">
        <v>338</v>
      </c>
      <c r="E147" t="str">
        <f>"5/3"</f>
        <v>5/3</v>
      </c>
      <c r="F147" t="str">
        <f>"4/5"</f>
        <v>4/5</v>
      </c>
      <c r="G147" t="str">
        <f>"3/4"</f>
        <v>3/4</v>
      </c>
      <c r="H147" t="str">
        <f>"5/4"</f>
        <v>5/4</v>
      </c>
      <c r="I147" t="str">
        <f>"4/5"</f>
        <v>4/5</v>
      </c>
      <c r="J147" t="s">
        <v>339</v>
      </c>
    </row>
    <row r="148" spans="1:10" x14ac:dyDescent="0.45">
      <c r="A148" t="s">
        <v>10</v>
      </c>
      <c r="B148" t="s">
        <v>11</v>
      </c>
      <c r="C148" t="s">
        <v>337</v>
      </c>
      <c r="D148" t="s">
        <v>340</v>
      </c>
      <c r="E148" t="str">
        <f>"1/2"</f>
        <v>1/2</v>
      </c>
      <c r="F148" t="str">
        <f>"1"</f>
        <v>1</v>
      </c>
      <c r="G148" t="str">
        <f>"√3/2"</f>
        <v>√3/2</v>
      </c>
      <c r="H148" t="str">
        <f>"√3"</f>
        <v>√3</v>
      </c>
      <c r="I148" t="str">
        <f>"1"</f>
        <v>1</v>
      </c>
      <c r="J148" t="s">
        <v>341</v>
      </c>
    </row>
    <row r="149" spans="1:10" x14ac:dyDescent="0.45">
      <c r="A149" t="s">
        <v>10</v>
      </c>
      <c r="B149" t="s">
        <v>11</v>
      </c>
      <c r="C149" t="s">
        <v>337</v>
      </c>
      <c r="D149" t="s">
        <v>342</v>
      </c>
      <c r="E149" t="str">
        <f>"1"</f>
        <v>1</v>
      </c>
      <c r="F149" t="str">
        <f>"0"</f>
        <v>0</v>
      </c>
      <c r="G149" t="str">
        <f>"9"</f>
        <v>9</v>
      </c>
      <c r="H149" t="str">
        <f>"8"</f>
        <v>8</v>
      </c>
      <c r="I149" t="str">
        <f>"9"</f>
        <v>9</v>
      </c>
      <c r="J149" t="s">
        <v>343</v>
      </c>
    </row>
    <row r="150" spans="1:10" x14ac:dyDescent="0.45">
      <c r="A150" t="s">
        <v>10</v>
      </c>
      <c r="B150" t="s">
        <v>11</v>
      </c>
      <c r="C150" t="s">
        <v>337</v>
      </c>
      <c r="D150" t="s">
        <v>344</v>
      </c>
      <c r="E150" t="str">
        <f>"1"</f>
        <v>1</v>
      </c>
      <c r="F150" t="str">
        <f>"1/2"</f>
        <v>1/2</v>
      </c>
      <c r="G150" t="str">
        <f>"0"</f>
        <v>0</v>
      </c>
      <c r="H150" t="str">
        <f>"√3/2"</f>
        <v>√3/2</v>
      </c>
      <c r="I150" t="str">
        <f>"0"</f>
        <v>0</v>
      </c>
      <c r="J150" t="s">
        <v>345</v>
      </c>
    </row>
    <row r="151" spans="1:10" x14ac:dyDescent="0.45">
      <c r="A151" t="s">
        <v>10</v>
      </c>
      <c r="B151" t="s">
        <v>11</v>
      </c>
      <c r="C151" t="s">
        <v>337</v>
      </c>
      <c r="D151" t="s">
        <v>346</v>
      </c>
      <c r="E151" t="str">
        <f>"3/5"</f>
        <v>3/5</v>
      </c>
      <c r="F151" t="str">
        <f>"4/5"</f>
        <v>4/5</v>
      </c>
      <c r="G151" t="str">
        <f>"5/4"</f>
        <v>5/4</v>
      </c>
      <c r="H151" t="str">
        <f>"5/3"</f>
        <v>5/3</v>
      </c>
      <c r="I151" t="str">
        <f>"5/3"</f>
        <v>5/3</v>
      </c>
      <c r="J151" t="s">
        <v>347</v>
      </c>
    </row>
    <row r="152" spans="1:10" x14ac:dyDescent="0.45">
      <c r="A152" t="s">
        <v>10</v>
      </c>
      <c r="B152" t="s">
        <v>11</v>
      </c>
      <c r="C152" t="s">
        <v>337</v>
      </c>
      <c r="D152" t="s">
        <v>348</v>
      </c>
      <c r="E152" t="str">
        <f>"16/25"</f>
        <v>16/25</v>
      </c>
      <c r="F152" t="str">
        <f>"7/25"</f>
        <v>7/25</v>
      </c>
      <c r="G152" t="str">
        <f>"9/25"</f>
        <v>9/25</v>
      </c>
      <c r="H152" t="str">
        <f>"24/25"</f>
        <v>24/25</v>
      </c>
      <c r="I152" t="str">
        <f>"7/25"</f>
        <v>7/25</v>
      </c>
      <c r="J152" t="s">
        <v>349</v>
      </c>
    </row>
    <row r="153" spans="1:10" x14ac:dyDescent="0.45">
      <c r="A153" t="s">
        <v>10</v>
      </c>
      <c r="B153" t="s">
        <v>11</v>
      </c>
      <c r="C153" t="s">
        <v>337</v>
      </c>
      <c r="D153" t="s">
        <v>350</v>
      </c>
      <c r="E153" t="str">
        <f>"0"</f>
        <v>0</v>
      </c>
      <c r="F153" t="str">
        <f>"1"</f>
        <v>1</v>
      </c>
      <c r="G153" t="str">
        <f>"2"</f>
        <v>2</v>
      </c>
      <c r="H153" t="str">
        <f>"1/2"</f>
        <v>1/2</v>
      </c>
      <c r="I153" t="str">
        <f>"1"</f>
        <v>1</v>
      </c>
      <c r="J153" t="s">
        <v>351</v>
      </c>
    </row>
    <row r="154" spans="1:10" x14ac:dyDescent="0.45">
      <c r="A154" t="s">
        <v>10</v>
      </c>
      <c r="B154" t="s">
        <v>11</v>
      </c>
      <c r="C154" t="s">
        <v>337</v>
      </c>
      <c r="D154" t="s">
        <v>352</v>
      </c>
      <c r="E154" t="str">
        <f>"4"</f>
        <v>4</v>
      </c>
      <c r="F154" t="str">
        <f>"1"</f>
        <v>1</v>
      </c>
      <c r="G154" t="str">
        <f>"2"</f>
        <v>2</v>
      </c>
      <c r="H154" t="str">
        <f>"0"</f>
        <v>0</v>
      </c>
      <c r="I154" t="str">
        <f>"2"</f>
        <v>2</v>
      </c>
      <c r="J154" t="s">
        <v>353</v>
      </c>
    </row>
    <row r="155" spans="1:10" x14ac:dyDescent="0.45">
      <c r="A155" t="s">
        <v>10</v>
      </c>
      <c r="B155" t="s">
        <v>11</v>
      </c>
      <c r="C155" t="s">
        <v>337</v>
      </c>
      <c r="D155" t="s">
        <v>354</v>
      </c>
      <c r="E155" t="str">
        <f>"1/3"</f>
        <v>1/3</v>
      </c>
      <c r="F155" t="str">
        <f>"1/2"</f>
        <v>1/2</v>
      </c>
      <c r="G155" t="str">
        <f>"2/3"</f>
        <v>2/3</v>
      </c>
      <c r="H155" t="str">
        <f>"3/4"</f>
        <v>3/4</v>
      </c>
      <c r="I155" t="str">
        <f>"1/2"</f>
        <v>1/2</v>
      </c>
      <c r="J155" t="s">
        <v>355</v>
      </c>
    </row>
    <row r="156" spans="1:10" x14ac:dyDescent="0.45">
      <c r="A156" t="s">
        <v>10</v>
      </c>
      <c r="B156" t="s">
        <v>11</v>
      </c>
      <c r="C156" t="s">
        <v>337</v>
      </c>
      <c r="D156" t="s">
        <v>356</v>
      </c>
      <c r="E156" t="str">
        <f>"0"</f>
        <v>0</v>
      </c>
      <c r="F156" t="str">
        <f>"-1"</f>
        <v>-1</v>
      </c>
      <c r="G156" t="str">
        <f>"1"</f>
        <v>1</v>
      </c>
      <c r="H156" t="str">
        <f>"2"</f>
        <v>2</v>
      </c>
      <c r="I156" t="str">
        <f>"1"</f>
        <v>1</v>
      </c>
      <c r="J156" t="s">
        <v>357</v>
      </c>
    </row>
    <row r="157" spans="1:10" x14ac:dyDescent="0.45">
      <c r="A157" t="s">
        <v>10</v>
      </c>
      <c r="B157" t="s">
        <v>11</v>
      </c>
      <c r="C157" t="s">
        <v>337</v>
      </c>
      <c r="D157" t="s">
        <v>358</v>
      </c>
      <c r="E157" t="str">
        <f>"15°"</f>
        <v>15°</v>
      </c>
      <c r="F157" t="str">
        <f>"45°"</f>
        <v>45°</v>
      </c>
      <c r="G157" t="str">
        <f>"60°"</f>
        <v>60°</v>
      </c>
      <c r="H157" t="str">
        <f>"30°"</f>
        <v>30°</v>
      </c>
      <c r="I157" t="str">
        <f>"30°"</f>
        <v>30°</v>
      </c>
      <c r="J157" t="s">
        <v>359</v>
      </c>
    </row>
    <row r="158" spans="1:10" x14ac:dyDescent="0.45">
      <c r="A158" t="s">
        <v>10</v>
      </c>
      <c r="B158" t="s">
        <v>11</v>
      </c>
      <c r="C158" t="s">
        <v>337</v>
      </c>
      <c r="D158" t="s">
        <v>360</v>
      </c>
      <c r="E158" t="str">
        <f>"√2 cos θ"</f>
        <v>√2 cos θ</v>
      </c>
      <c r="F158" t="str">
        <f>"√2 sin θ"</f>
        <v>√2 sin θ</v>
      </c>
      <c r="G158" t="str">
        <f>"1"</f>
        <v>1</v>
      </c>
      <c r="H158" t="str">
        <f>"0"</f>
        <v>0</v>
      </c>
      <c r="I158" t="str">
        <f>"√2 sin θ"</f>
        <v>√2 sin θ</v>
      </c>
      <c r="J158" t="s">
        <v>361</v>
      </c>
    </row>
    <row r="159" spans="1:10" x14ac:dyDescent="0.45">
      <c r="A159" t="s">
        <v>10</v>
      </c>
      <c r="B159" t="s">
        <v>11</v>
      </c>
      <c r="C159" t="s">
        <v>337</v>
      </c>
      <c r="D159" t="s">
        <v>362</v>
      </c>
      <c r="E159" t="str">
        <f>"a² + b²"</f>
        <v>a² + b²</v>
      </c>
      <c r="F159" t="str">
        <f>"1"</f>
        <v>1</v>
      </c>
      <c r="G159" t="str">
        <f>"a/b"</f>
        <v>a/b</v>
      </c>
      <c r="H159" t="str">
        <f>"a²b²"</f>
        <v>a²b²</v>
      </c>
      <c r="I159" t="str">
        <f>"a²b²"</f>
        <v>a²b²</v>
      </c>
      <c r="J159" t="s">
        <v>363</v>
      </c>
    </row>
    <row r="160" spans="1:10" x14ac:dyDescent="0.45">
      <c r="A160" t="s">
        <v>10</v>
      </c>
      <c r="B160" t="s">
        <v>11</v>
      </c>
      <c r="C160" t="s">
        <v>337</v>
      </c>
      <c r="D160" t="s">
        <v>364</v>
      </c>
      <c r="E160" t="str">
        <f>"(p² - 1) / (2p)"</f>
        <v>(p² - 1) / (2p)</v>
      </c>
      <c r="F160" t="str">
        <f>"(p² + 1) / (2p)"</f>
        <v>(p² + 1) / (2p)</v>
      </c>
      <c r="G160" t="str">
        <f>"(p² - 1) / p"</f>
        <v>(p² - 1) / p</v>
      </c>
      <c r="H160" t="str">
        <f>"(p² + 1) / p"</f>
        <v>(p² + 1) / p</v>
      </c>
      <c r="I160" t="str">
        <f>"(p² - 1) / (2p)"</f>
        <v>(p² - 1) / (2p)</v>
      </c>
      <c r="J160" t="s">
        <v>365</v>
      </c>
    </row>
    <row r="161" spans="1:10" x14ac:dyDescent="0.45">
      <c r="A161" t="s">
        <v>10</v>
      </c>
      <c r="B161" t="s">
        <v>11</v>
      </c>
      <c r="C161" t="s">
        <v>337</v>
      </c>
      <c r="D161" t="s">
        <v>366</v>
      </c>
      <c r="E161" t="str">
        <f>"0"</f>
        <v>0</v>
      </c>
      <c r="F161" t="str">
        <f>"-1"</f>
        <v>-1</v>
      </c>
      <c r="G161" t="str">
        <f>"a² / b²"</f>
        <v>a² / b²</v>
      </c>
      <c r="H161" t="str">
        <f>"1"</f>
        <v>1</v>
      </c>
      <c r="I161" t="str">
        <f>"1"</f>
        <v>1</v>
      </c>
      <c r="J161" t="s">
        <v>367</v>
      </c>
    </row>
    <row r="162" spans="1:10" x14ac:dyDescent="0.45">
      <c r="A162" t="s">
        <v>10</v>
      </c>
      <c r="B162" t="s">
        <v>11</v>
      </c>
      <c r="C162" t="s">
        <v>337</v>
      </c>
      <c r="D162" t="s">
        <v>368</v>
      </c>
      <c r="E162" t="str">
        <f>"m"</f>
        <v>m</v>
      </c>
      <c r="F162" t="str">
        <f>"3m"</f>
        <v>3m</v>
      </c>
      <c r="G162" t="str">
        <f>"2m"</f>
        <v>2m</v>
      </c>
      <c r="H162" t="str">
        <f>"2/m"</f>
        <v>2/m</v>
      </c>
      <c r="I162" t="str">
        <f>"2m"</f>
        <v>2m</v>
      </c>
      <c r="J162" t="s">
        <v>369</v>
      </c>
    </row>
    <row r="163" spans="1:10" x14ac:dyDescent="0.45">
      <c r="A163" t="s">
        <v>10</v>
      </c>
      <c r="B163" t="s">
        <v>11</v>
      </c>
      <c r="C163" t="s">
        <v>337</v>
      </c>
      <c r="D163" t="s">
        <v>370</v>
      </c>
      <c r="E163" t="str">
        <f>"2 √(mn)"</f>
        <v>2 √(mn)</v>
      </c>
      <c r="F163" t="str">
        <f>"4 mn"</f>
        <v>4 mn</v>
      </c>
      <c r="G163" t="str">
        <f>"2 mn"</f>
        <v>2 mn</v>
      </c>
      <c r="H163" t="str">
        <f>"4 √(mn)"</f>
        <v>4 √(mn)</v>
      </c>
      <c r="I163" t="str">
        <f>"4 √(mn)"</f>
        <v>4 √(mn)</v>
      </c>
      <c r="J163" t="s">
        <v>371</v>
      </c>
    </row>
    <row r="164" spans="1:10" x14ac:dyDescent="0.45">
      <c r="A164" t="s">
        <v>10</v>
      </c>
      <c r="B164" t="s">
        <v>11</v>
      </c>
      <c r="C164" t="s">
        <v>337</v>
      </c>
      <c r="D164" t="s">
        <v>372</v>
      </c>
      <c r="E164" t="str">
        <f>"0"</f>
        <v>0</v>
      </c>
      <c r="F164" t="str">
        <f>"1"</f>
        <v>1</v>
      </c>
      <c r="G164" t="str">
        <f>"2"</f>
        <v>2</v>
      </c>
      <c r="H164" t="str">
        <f>"-1"</f>
        <v>-1</v>
      </c>
      <c r="I164" t="str">
        <f>"1"</f>
        <v>1</v>
      </c>
      <c r="J164" t="s">
        <v>373</v>
      </c>
    </row>
    <row r="165" spans="1:10" x14ac:dyDescent="0.45">
      <c r="A165" t="s">
        <v>10</v>
      </c>
      <c r="B165" t="s">
        <v>11</v>
      </c>
      <c r="C165" t="s">
        <v>337</v>
      </c>
      <c r="D165" t="s">
        <v>374</v>
      </c>
      <c r="E165" t="str">
        <f>"m² - n²"</f>
        <v>m² - n²</v>
      </c>
      <c r="F165" t="str">
        <f>"mn"</f>
        <v>mn</v>
      </c>
      <c r="G165" t="str">
        <f>"m² + n²"</f>
        <v>m² + n²</v>
      </c>
      <c r="H165" t="str">
        <f>"(m + n)²"</f>
        <v>(m + n)²</v>
      </c>
      <c r="I165" t="str">
        <f>"m² + n²"</f>
        <v>m² + n²</v>
      </c>
      <c r="J165" t="s">
        <v>375</v>
      </c>
    </row>
    <row r="166" spans="1:10" x14ac:dyDescent="0.45">
      <c r="A166" t="s">
        <v>10</v>
      </c>
      <c r="B166" t="s">
        <v>11</v>
      </c>
      <c r="C166" t="s">
        <v>337</v>
      </c>
      <c r="D166" t="s">
        <v>376</v>
      </c>
      <c r="E166" t="str">
        <f>"(sin² θ - cos² θ)(1 - 2 sin² θ cos² θ)"</f>
        <v>(sin² θ - cos² θ)(1 - 2 sin² θ cos² θ)</v>
      </c>
      <c r="F166" t="str">
        <f>"(sin² θ + cos² θ)(1 - 2 sin² θ cos² θ)"</f>
        <v>(sin² θ + cos² θ)(1 - 2 sin² θ cos² θ)</v>
      </c>
      <c r="G166" t="str">
        <f>"(sin² θ - cos² θ)(1 + 2 sin² θ cos² θ)"</f>
        <v>(sin² θ - cos² θ)(1 + 2 sin² θ cos² θ)</v>
      </c>
      <c r="H166" t="str">
        <f>"(sin⁴ θ - cos⁴ θ)(1 + 2 sin² θ cos² θ)"</f>
        <v>(sin⁴ θ - cos⁴ θ)(1 + 2 sin² θ cos² θ)</v>
      </c>
      <c r="I166" t="str">
        <f>"(sin² θ - cos² θ)(1 - 2 sin² θ cos² θ)"</f>
        <v>(sin² θ - cos² θ)(1 - 2 sin² θ cos² θ)</v>
      </c>
      <c r="J166" t="s">
        <v>377</v>
      </c>
    </row>
    <row r="167" spans="1:10" x14ac:dyDescent="0.45">
      <c r="A167" t="s">
        <v>10</v>
      </c>
      <c r="B167" t="s">
        <v>11</v>
      </c>
      <c r="C167" t="s">
        <v>337</v>
      </c>
      <c r="D167" t="s">
        <v>378</v>
      </c>
      <c r="E167" t="str">
        <f>"(x² + 1) / (x² - 1)"</f>
        <v>(x² + 1) / (x² - 1)</v>
      </c>
      <c r="F167" t="str">
        <f>"2x / (x² + 1)"</f>
        <v>2x / (x² + 1)</v>
      </c>
      <c r="G167" t="str">
        <f>"(x² - 1) / (2x)"</f>
        <v>(x² - 1) / (2x)</v>
      </c>
      <c r="H167" t="str">
        <f>"(x² - 1) / (x² + 1)"</f>
        <v>(x² - 1) / (x² + 1)</v>
      </c>
      <c r="I167" t="str">
        <f>"(x² - 1) / (x² + 1)"</f>
        <v>(x² - 1) / (x² + 1)</v>
      </c>
      <c r="J167" t="s">
        <v>379</v>
      </c>
    </row>
    <row r="168" spans="1:10" x14ac:dyDescent="0.45">
      <c r="A168" t="s">
        <v>10</v>
      </c>
      <c r="B168" t="s">
        <v>11</v>
      </c>
      <c r="C168" t="s">
        <v>380</v>
      </c>
      <c r="D168" t="s">
        <v>381</v>
      </c>
      <c r="E168" t="str">
        <f>"15 m"</f>
        <v>15 m</v>
      </c>
      <c r="F168" t="str">
        <f>"15√3 m"</f>
        <v>15√3 m</v>
      </c>
      <c r="G168" t="str">
        <f>"15/√3 m"</f>
        <v>15/√3 m</v>
      </c>
      <c r="H168" t="str">
        <f>"30 m"</f>
        <v>30 m</v>
      </c>
      <c r="I168" t="str">
        <f>"15√3 m"</f>
        <v>15√3 m</v>
      </c>
      <c r="J168" t="s">
        <v>382</v>
      </c>
    </row>
    <row r="169" spans="1:10" x14ac:dyDescent="0.45">
      <c r="A169" t="s">
        <v>10</v>
      </c>
      <c r="B169" t="s">
        <v>11</v>
      </c>
      <c r="C169" t="s">
        <v>380</v>
      </c>
      <c r="D169" t="s">
        <v>383</v>
      </c>
      <c r="E169" t="str">
        <f>"h√3"</f>
        <v>h√3</v>
      </c>
      <c r="F169" t="str">
        <f>"h"</f>
        <v>h</v>
      </c>
      <c r="G169" t="str">
        <f>"h/√3"</f>
        <v>h/√3</v>
      </c>
      <c r="H169" t="str">
        <f>"2h"</f>
        <v>2h</v>
      </c>
      <c r="I169" t="str">
        <f>"h"</f>
        <v>h</v>
      </c>
      <c r="J169" t="s">
        <v>384</v>
      </c>
    </row>
    <row r="170" spans="1:10" x14ac:dyDescent="0.45">
      <c r="A170" t="s">
        <v>10</v>
      </c>
      <c r="B170" t="s">
        <v>11</v>
      </c>
      <c r="C170" t="s">
        <v>380</v>
      </c>
      <c r="D170" t="s">
        <v>385</v>
      </c>
      <c r="E170" t="str">
        <f>"20 m"</f>
        <v>20 m</v>
      </c>
      <c r="F170" t="str">
        <f>"10√3 m"</f>
        <v>10√3 m</v>
      </c>
      <c r="G170" t="str">
        <f>"10 m"</f>
        <v>10 m</v>
      </c>
      <c r="H170" t="str">
        <f>"20√3 m"</f>
        <v>20√3 m</v>
      </c>
      <c r="I170" t="str">
        <f>"10 m"</f>
        <v>10 m</v>
      </c>
      <c r="J170" t="s">
        <v>386</v>
      </c>
    </row>
    <row r="171" spans="1:10" x14ac:dyDescent="0.45">
      <c r="A171" t="s">
        <v>10</v>
      </c>
      <c r="B171" t="s">
        <v>11</v>
      </c>
      <c r="C171" t="s">
        <v>380</v>
      </c>
      <c r="D171" t="s">
        <v>387</v>
      </c>
      <c r="E171" t="str">
        <f>"30°"</f>
        <v>30°</v>
      </c>
      <c r="F171" t="str">
        <f>"60°"</f>
        <v>60°</v>
      </c>
      <c r="G171" t="str">
        <f>"90°"</f>
        <v>90°</v>
      </c>
      <c r="H171" t="str">
        <f>"45°"</f>
        <v>45°</v>
      </c>
      <c r="I171" t="str">
        <f>"45°"</f>
        <v>45°</v>
      </c>
      <c r="J171" t="s">
        <v>388</v>
      </c>
    </row>
    <row r="172" spans="1:10" x14ac:dyDescent="0.45">
      <c r="A172" t="s">
        <v>10</v>
      </c>
      <c r="B172" t="s">
        <v>11</v>
      </c>
      <c r="C172" t="s">
        <v>380</v>
      </c>
      <c r="D172" t="s">
        <v>389</v>
      </c>
      <c r="E172" t="str">
        <f>"30√3 m"</f>
        <v>30√3 m</v>
      </c>
      <c r="F172" t="str">
        <f>"30 m"</f>
        <v>30 m</v>
      </c>
      <c r="G172" t="str">
        <f>"10√3 m"</f>
        <v>10√3 m</v>
      </c>
      <c r="H172" t="str">
        <f>"60 m"</f>
        <v>60 m</v>
      </c>
      <c r="I172" t="str">
        <f>"30√3 m"</f>
        <v>30√3 m</v>
      </c>
      <c r="J172" t="s">
        <v>390</v>
      </c>
    </row>
    <row r="173" spans="1:10" x14ac:dyDescent="0.45">
      <c r="A173" t="s">
        <v>10</v>
      </c>
      <c r="B173" t="s">
        <v>11</v>
      </c>
      <c r="C173" t="s">
        <v>380</v>
      </c>
      <c r="D173" t="s">
        <v>391</v>
      </c>
      <c r="E173" t="str">
        <f>"15 m"</f>
        <v>15 m</v>
      </c>
      <c r="F173" t="str">
        <f>"7.5 m"</f>
        <v>7.5 m</v>
      </c>
      <c r="G173" t="str">
        <f>"7.5√3 m"</f>
        <v>7.5√3 m</v>
      </c>
      <c r="H173" t="str">
        <f>"15√3 m"</f>
        <v>15√3 m</v>
      </c>
      <c r="I173" t="str">
        <f>"7.5 m"</f>
        <v>7.5 m</v>
      </c>
      <c r="J173" t="s">
        <v>392</v>
      </c>
    </row>
    <row r="174" spans="1:10" x14ac:dyDescent="0.45">
      <c r="A174" t="s">
        <v>10</v>
      </c>
      <c r="B174" t="s">
        <v>11</v>
      </c>
      <c r="C174" t="s">
        <v>380</v>
      </c>
      <c r="D174" t="s">
        <v>393</v>
      </c>
      <c r="E174" t="str">
        <f>"28.5 m"</f>
        <v>28.5 m</v>
      </c>
      <c r="F174" t="str">
        <f>"27 m"</f>
        <v>27 m</v>
      </c>
      <c r="G174" t="str">
        <f>"30 m"</f>
        <v>30 m</v>
      </c>
      <c r="H174" t="str">
        <f>"31.5 m"</f>
        <v>31.5 m</v>
      </c>
      <c r="I174" t="str">
        <f>"30 m"</f>
        <v>30 m</v>
      </c>
      <c r="J174" t="s">
        <v>394</v>
      </c>
    </row>
    <row r="175" spans="1:10" x14ac:dyDescent="0.45">
      <c r="A175" t="s">
        <v>10</v>
      </c>
      <c r="B175" t="s">
        <v>11</v>
      </c>
      <c r="C175" t="s">
        <v>380</v>
      </c>
      <c r="D175" t="s">
        <v>395</v>
      </c>
      <c r="E175" t="str">
        <f>"45°"</f>
        <v>45°</v>
      </c>
      <c r="F175" t="str">
        <f>"60°"</f>
        <v>60°</v>
      </c>
      <c r="G175" t="str">
        <f>"30°"</f>
        <v>30°</v>
      </c>
      <c r="H175" t="str">
        <f>"90°"</f>
        <v>90°</v>
      </c>
      <c r="I175" t="str">
        <f>"30°"</f>
        <v>30°</v>
      </c>
      <c r="J175" t="s">
        <v>396</v>
      </c>
    </row>
    <row r="176" spans="1:10" x14ac:dyDescent="0.45">
      <c r="A176" t="s">
        <v>10</v>
      </c>
      <c r="B176" t="s">
        <v>11</v>
      </c>
      <c r="C176" t="s">
        <v>380</v>
      </c>
      <c r="D176" t="s">
        <v>397</v>
      </c>
      <c r="E176" t="str">
        <f>"7(√3 - 1) m"</f>
        <v>7(√3 - 1) m</v>
      </c>
      <c r="F176" t="str">
        <f>"14 m"</f>
        <v>14 m</v>
      </c>
      <c r="G176" t="str">
        <f>"7√3 m"</f>
        <v>7√3 m</v>
      </c>
      <c r="H176" t="str">
        <f>"7(√3 + 1) m"</f>
        <v>7(√3 + 1) m</v>
      </c>
      <c r="I176" t="str">
        <f>"7(√3 + 1) m"</f>
        <v>7(√3 + 1) m</v>
      </c>
      <c r="J176" t="s">
        <v>398</v>
      </c>
    </row>
    <row r="177" spans="1:10" x14ac:dyDescent="0.45">
      <c r="A177" t="s">
        <v>10</v>
      </c>
      <c r="B177" t="s">
        <v>11</v>
      </c>
      <c r="C177" t="s">
        <v>380</v>
      </c>
      <c r="D177" t="s">
        <v>399</v>
      </c>
      <c r="E177" t="str">
        <f>"40√3 m"</f>
        <v>40√3 m</v>
      </c>
      <c r="F177" t="str">
        <f>"120 m"</f>
        <v>120 m</v>
      </c>
      <c r="G177" t="str">
        <f>"60√3 m"</f>
        <v>60√3 m</v>
      </c>
      <c r="H177" t="str">
        <f>"30√3 m"</f>
        <v>30√3 m</v>
      </c>
      <c r="I177" t="str">
        <f>"40√3 m"</f>
        <v>40√3 m</v>
      </c>
      <c r="J177" t="s">
        <v>400</v>
      </c>
    </row>
    <row r="178" spans="1:10" x14ac:dyDescent="0.45">
      <c r="A178" t="s">
        <v>10</v>
      </c>
      <c r="B178" t="s">
        <v>11</v>
      </c>
      <c r="C178" t="s">
        <v>380</v>
      </c>
      <c r="D178" t="s">
        <v>401</v>
      </c>
      <c r="E178" t="str">
        <f>"12 m"</f>
        <v>12 m</v>
      </c>
      <c r="F178" t="str">
        <f>"13 m"</f>
        <v>13 m</v>
      </c>
      <c r="G178" t="str">
        <f>"14 m"</f>
        <v>14 m</v>
      </c>
      <c r="H178" t="str">
        <f>"15 m"</f>
        <v>15 m</v>
      </c>
      <c r="I178" t="str">
        <f>"13 m"</f>
        <v>13 m</v>
      </c>
      <c r="J178" t="s">
        <v>402</v>
      </c>
    </row>
    <row r="179" spans="1:10" x14ac:dyDescent="0.45">
      <c r="A179" t="s">
        <v>10</v>
      </c>
      <c r="B179" t="s">
        <v>11</v>
      </c>
      <c r="C179" t="s">
        <v>380</v>
      </c>
      <c r="D179" t="s">
        <v>403</v>
      </c>
      <c r="E179" t="str">
        <f>"29√3 m"</f>
        <v>29√3 m</v>
      </c>
      <c r="F179" t="str">
        <f>"87√3 m"</f>
        <v>87√3 m</v>
      </c>
      <c r="G179" t="str">
        <f>"58√3 m"</f>
        <v>58√3 m</v>
      </c>
      <c r="H179" t="str">
        <f>"116√3 m"</f>
        <v>116√3 m</v>
      </c>
      <c r="I179" t="str">
        <f>"58√3 m"</f>
        <v>58√3 m</v>
      </c>
      <c r="J179" t="s">
        <v>404</v>
      </c>
    </row>
    <row r="180" spans="1:10" x14ac:dyDescent="0.45">
      <c r="A180" t="s">
        <v>10</v>
      </c>
      <c r="B180" t="s">
        <v>11</v>
      </c>
      <c r="C180" t="s">
        <v>380</v>
      </c>
      <c r="D180" t="s">
        <v>405</v>
      </c>
      <c r="E180" t="str">
        <f>"36 m"</f>
        <v>36 m</v>
      </c>
      <c r="F180" t="str">
        <f>"13 m"</f>
        <v>13 m</v>
      </c>
      <c r="G180" t="str">
        <f>"5 m"</f>
        <v>5 m</v>
      </c>
      <c r="H180" t="str">
        <f>"6 m"</f>
        <v>6 m</v>
      </c>
      <c r="I180" t="str">
        <f>"6 m"</f>
        <v>6 m</v>
      </c>
      <c r="J180" t="s">
        <v>406</v>
      </c>
    </row>
    <row r="181" spans="1:10" x14ac:dyDescent="0.45">
      <c r="A181" t="s">
        <v>10</v>
      </c>
      <c r="B181" t="s">
        <v>11</v>
      </c>
      <c r="C181" t="s">
        <v>380</v>
      </c>
      <c r="D181" t="s">
        <v>407</v>
      </c>
      <c r="E181" t="str">
        <f>"120 m"</f>
        <v>120 m</v>
      </c>
      <c r="F181" t="str">
        <f>"180 m"</f>
        <v>180 m</v>
      </c>
      <c r="G181" t="str">
        <f>"90 m"</f>
        <v>90 m</v>
      </c>
      <c r="H181" t="str">
        <f>"60 m"</f>
        <v>60 m</v>
      </c>
      <c r="I181" t="str">
        <f>"120 m"</f>
        <v>120 m</v>
      </c>
      <c r="J181" t="s">
        <v>408</v>
      </c>
    </row>
    <row r="182" spans="1:10" x14ac:dyDescent="0.45">
      <c r="A182" t="s">
        <v>10</v>
      </c>
      <c r="B182" t="s">
        <v>11</v>
      </c>
      <c r="C182" t="s">
        <v>380</v>
      </c>
      <c r="D182" t="s">
        <v>409</v>
      </c>
      <c r="E182" t="str">
        <f>"3(√3 - 1) m"</f>
        <v>3(√3 - 1) m</v>
      </c>
      <c r="F182" t="str">
        <f>"3(√3 + 1) m"</f>
        <v>3(√3 + 1) m</v>
      </c>
      <c r="G182" t="str">
        <f>"6 m"</f>
        <v>6 m</v>
      </c>
      <c r="H182" t="str">
        <f>"3√3 m"</f>
        <v>3√3 m</v>
      </c>
      <c r="I182" t="str">
        <f>"3(√3 + 1) m"</f>
        <v>3(√3 + 1) m</v>
      </c>
      <c r="J182" t="s">
        <v>410</v>
      </c>
    </row>
    <row r="183" spans="1:10" x14ac:dyDescent="0.45">
      <c r="A183" t="s">
        <v>10</v>
      </c>
      <c r="B183" t="s">
        <v>11</v>
      </c>
      <c r="C183" t="s">
        <v>380</v>
      </c>
      <c r="D183" t="s">
        <v>411</v>
      </c>
      <c r="E183" t="str">
        <f>"8/√3 m"</f>
        <v>8/√3 m</v>
      </c>
      <c r="F183" t="str">
        <f>"16/√3 m"</f>
        <v>16/√3 m</v>
      </c>
      <c r="G183" t="str">
        <f>"8√3 m"</f>
        <v>8√3 m</v>
      </c>
      <c r="H183" t="str">
        <f>"24√3 m"</f>
        <v>24√3 m</v>
      </c>
      <c r="I183" t="str">
        <f>"8√3 m"</f>
        <v>8√3 m</v>
      </c>
      <c r="J183" t="s">
        <v>412</v>
      </c>
    </row>
    <row r="184" spans="1:10" x14ac:dyDescent="0.45">
      <c r="A184" t="s">
        <v>10</v>
      </c>
      <c r="B184" t="s">
        <v>11</v>
      </c>
      <c r="C184" t="s">
        <v>380</v>
      </c>
      <c r="D184" t="s">
        <v>413</v>
      </c>
      <c r="E184" t="str">
        <f>"6 seconds"</f>
        <v>6 seconds</v>
      </c>
      <c r="F184" t="str">
        <f>"9 seconds"</f>
        <v>9 seconds</v>
      </c>
      <c r="G184" t="str">
        <f>"4.5 seconds"</f>
        <v>4.5 seconds</v>
      </c>
      <c r="H184" t="str">
        <f>"3 seconds"</f>
        <v>3 seconds</v>
      </c>
      <c r="I184" t="str">
        <f>"3 seconds"</f>
        <v>3 seconds</v>
      </c>
      <c r="J184" t="s">
        <v>414</v>
      </c>
    </row>
    <row r="185" spans="1:10" x14ac:dyDescent="0.45">
      <c r="A185" t="s">
        <v>10</v>
      </c>
      <c r="B185" t="s">
        <v>11</v>
      </c>
      <c r="C185" t="s">
        <v>380</v>
      </c>
      <c r="D185" t="s">
        <v>415</v>
      </c>
      <c r="E185" t="str">
        <f>"240√3 km/h"</f>
        <v>240√3 km/h</v>
      </c>
      <c r="F185" t="str">
        <f>"360√3 km/h"</f>
        <v>360√3 km/h</v>
      </c>
      <c r="G185" t="str">
        <f>"120√3 km/h"</f>
        <v>120√3 km/h</v>
      </c>
      <c r="H185" t="str">
        <f>"480√3 km/h"</f>
        <v>480√3 km/h</v>
      </c>
      <c r="I185" t="str">
        <f>"240√3 km/h"</f>
        <v>240√3 km/h</v>
      </c>
      <c r="J185" t="s">
        <v>416</v>
      </c>
    </row>
    <row r="186" spans="1:10" x14ac:dyDescent="0.45">
      <c r="A186" t="s">
        <v>10</v>
      </c>
      <c r="B186" t="s">
        <v>11</v>
      </c>
      <c r="C186" t="s">
        <v>380</v>
      </c>
      <c r="D186" t="s">
        <v>417</v>
      </c>
      <c r="E186" t="str">
        <f>"d / (tan β - tan α)"</f>
        <v>d / (tan β - tan α)</v>
      </c>
      <c r="F186" t="str">
        <f>"d / (cot α - cot β)"</f>
        <v>d / (cot α - cot β)</v>
      </c>
      <c r="G186" t="str">
        <f>"d (cot α + cot β)"</f>
        <v>d (cot α + cot β)</v>
      </c>
      <c r="H186" t="str">
        <f>"d / (tan α + tan β)"</f>
        <v>d / (tan α + tan β)</v>
      </c>
      <c r="I186" t="str">
        <f>"d / (cot α - cot β)"</f>
        <v>d / (cot α - cot β)</v>
      </c>
      <c r="J186" t="s">
        <v>418</v>
      </c>
    </row>
    <row r="187" spans="1:10" x14ac:dyDescent="0.45">
      <c r="A187" t="s">
        <v>10</v>
      </c>
      <c r="B187" t="s">
        <v>11</v>
      </c>
      <c r="C187" t="s">
        <v>380</v>
      </c>
      <c r="D187" t="s">
        <v>419</v>
      </c>
      <c r="E187" t="str">
        <f>"r cos φ cosec(θ / 2)"</f>
        <v>r cos φ cosec(θ / 2)</v>
      </c>
      <c r="F187" t="str">
        <f>"r sin φ sin(θ / 2)"</f>
        <v>r sin φ sin(θ / 2)</v>
      </c>
      <c r="G187" t="str">
        <f>"r sin φ cosec(θ / 2)"</f>
        <v>r sin φ cosec(θ / 2)</v>
      </c>
      <c r="H187" t="str">
        <f>"r cosec φ sin(θ / 2)"</f>
        <v>r cosec φ sin(θ / 2)</v>
      </c>
      <c r="I187" t="str">
        <f>"r sin φ cosec(θ / 2)"</f>
        <v>r sin φ cosec(θ / 2)</v>
      </c>
      <c r="J187" t="s">
        <v>420</v>
      </c>
    </row>
    <row r="188" spans="1:10" x14ac:dyDescent="0.45">
      <c r="A188" t="s">
        <v>10</v>
      </c>
      <c r="B188" t="s">
        <v>11</v>
      </c>
      <c r="C188" t="s">
        <v>380</v>
      </c>
      <c r="D188" t="s">
        <v>421</v>
      </c>
      <c r="E188" t="str">
        <f>"0.8(√3 - 1) m"</f>
        <v>0.8(√3 - 1) m</v>
      </c>
      <c r="F188" t="str">
        <f>"1.6(√3 + 1) m"</f>
        <v>1.6(√3 + 1) m</v>
      </c>
      <c r="G188" t="str">
        <f>"1.6(√3 - 1) m"</f>
        <v>1.6(√3 - 1) m</v>
      </c>
      <c r="H188" t="str">
        <f>"0.8(√3 + 1) m"</f>
        <v>0.8(√3 + 1) m</v>
      </c>
      <c r="I188" t="str">
        <f>"0.8(√3 + 1) m"</f>
        <v>0.8(√3 + 1) m</v>
      </c>
      <c r="J188" t="s">
        <v>422</v>
      </c>
    </row>
    <row r="189" spans="1:10" x14ac:dyDescent="0.45">
      <c r="A189" t="s">
        <v>10</v>
      </c>
      <c r="B189" t="s">
        <v>11</v>
      </c>
      <c r="C189" t="s">
        <v>423</v>
      </c>
      <c r="D189" t="s">
        <v>424</v>
      </c>
      <c r="E189" t="str">
        <f>"One"</f>
        <v>One</v>
      </c>
      <c r="F189" t="str">
        <f>"Infinitely many"</f>
        <v>Infinitely many</v>
      </c>
      <c r="G189" t="str">
        <f>"Two"</f>
        <v>Two</v>
      </c>
      <c r="H189" t="str">
        <f>"None"</f>
        <v>None</v>
      </c>
      <c r="I189" t="str">
        <f>"Infinitely many"</f>
        <v>Infinitely many</v>
      </c>
      <c r="J189" t="s">
        <v>425</v>
      </c>
    </row>
    <row r="190" spans="1:10" x14ac:dyDescent="0.45">
      <c r="A190" t="s">
        <v>10</v>
      </c>
      <c r="B190" t="s">
        <v>11</v>
      </c>
      <c r="C190" t="s">
        <v>423</v>
      </c>
      <c r="D190" t="s">
        <v>426</v>
      </c>
      <c r="E190" t="str">
        <f>"12 cm"</f>
        <v>12 cm</v>
      </c>
      <c r="F190" t="str">
        <f>"13 cm"</f>
        <v>13 cm</v>
      </c>
      <c r="G190" t="str">
        <f>"√119 cm"</f>
        <v>√119 cm</v>
      </c>
      <c r="H190" t="str">
        <f>"8.5 cm"</f>
        <v>8.5 cm</v>
      </c>
      <c r="I190" t="str">
        <f>"√119 cm"</f>
        <v>√119 cm</v>
      </c>
      <c r="J190" t="s">
        <v>427</v>
      </c>
    </row>
    <row r="191" spans="1:10" x14ac:dyDescent="0.45">
      <c r="A191" t="s">
        <v>10</v>
      </c>
      <c r="B191" t="s">
        <v>11</v>
      </c>
      <c r="C191" t="s">
        <v>423</v>
      </c>
      <c r="D191" t="s">
        <v>428</v>
      </c>
      <c r="E191" t="str">
        <f>"12 cm"</f>
        <v>12 cm</v>
      </c>
      <c r="F191" t="str">
        <f>"15 cm"</f>
        <v>15 cm</v>
      </c>
      <c r="G191" t="str">
        <f>"24.5 cm"</f>
        <v>24.5 cm</v>
      </c>
      <c r="H191" t="str">
        <f>"7 cm"</f>
        <v>7 cm</v>
      </c>
      <c r="I191" t="str">
        <f>"7 cm"</f>
        <v>7 cm</v>
      </c>
      <c r="J191" t="s">
        <v>429</v>
      </c>
    </row>
    <row r="192" spans="1:10" x14ac:dyDescent="0.45">
      <c r="A192" t="s">
        <v>10</v>
      </c>
      <c r="B192" t="s">
        <v>11</v>
      </c>
      <c r="C192" t="s">
        <v>423</v>
      </c>
      <c r="D192" t="s">
        <v>430</v>
      </c>
      <c r="E192" t="str">
        <f>"70°"</f>
        <v>70°</v>
      </c>
      <c r="F192" t="str">
        <f>"60°"</f>
        <v>60°</v>
      </c>
      <c r="G192" t="str">
        <f>"80°"</f>
        <v>80°</v>
      </c>
      <c r="H192" t="str">
        <f>"90°"</f>
        <v>90°</v>
      </c>
      <c r="I192" t="str">
        <f>"70°"</f>
        <v>70°</v>
      </c>
      <c r="J192" t="s">
        <v>431</v>
      </c>
    </row>
    <row r="193" spans="1:10" x14ac:dyDescent="0.45">
      <c r="A193" t="s">
        <v>10</v>
      </c>
      <c r="B193" t="s">
        <v>11</v>
      </c>
      <c r="C193" t="s">
        <v>423</v>
      </c>
      <c r="D193" t="s">
        <v>432</v>
      </c>
      <c r="E193" t="str">
        <f>"60°"</f>
        <v>60°</v>
      </c>
      <c r="F193" t="str">
        <f>"50°"</f>
        <v>50°</v>
      </c>
      <c r="G193" t="str">
        <f>"70°"</f>
        <v>70°</v>
      </c>
      <c r="H193" t="str">
        <f>"80°"</f>
        <v>80°</v>
      </c>
      <c r="I193" t="str">
        <f>"50°"</f>
        <v>50°</v>
      </c>
      <c r="J193" t="s">
        <v>433</v>
      </c>
    </row>
    <row r="194" spans="1:10" x14ac:dyDescent="0.45">
      <c r="A194" t="s">
        <v>10</v>
      </c>
      <c r="B194" t="s">
        <v>11</v>
      </c>
      <c r="C194" t="s">
        <v>423</v>
      </c>
      <c r="D194" t="s">
        <v>434</v>
      </c>
      <c r="E194" t="str">
        <f>"4 cm"</f>
        <v>4 cm</v>
      </c>
      <c r="F194" t="str">
        <f>"2 cm"</f>
        <v>2 cm</v>
      </c>
      <c r="G194" t="str">
        <f>"8 cm"</f>
        <v>8 cm</v>
      </c>
      <c r="H194" t="str">
        <f>"16 cm"</f>
        <v>16 cm</v>
      </c>
      <c r="I194" t="str">
        <f>"8 cm"</f>
        <v>8 cm</v>
      </c>
      <c r="J194" t="s">
        <v>435</v>
      </c>
    </row>
    <row r="195" spans="1:10" x14ac:dyDescent="0.45">
      <c r="A195" t="s">
        <v>10</v>
      </c>
      <c r="B195" t="s">
        <v>11</v>
      </c>
      <c r="C195" t="s">
        <v>423</v>
      </c>
      <c r="D195" t="s">
        <v>436</v>
      </c>
      <c r="E195" t="str">
        <f>"4 cm"</f>
        <v>4 cm</v>
      </c>
      <c r="F195" t="str">
        <f>"5 cm"</f>
        <v>5 cm</v>
      </c>
      <c r="G195" t="str">
        <f>"10 cm"</f>
        <v>10 cm</v>
      </c>
      <c r="H195" t="str">
        <f>"8 cm"</f>
        <v>8 cm</v>
      </c>
      <c r="I195" t="str">
        <f>"8 cm"</f>
        <v>8 cm</v>
      </c>
      <c r="J195" t="s">
        <v>437</v>
      </c>
    </row>
    <row r="196" spans="1:10" x14ac:dyDescent="0.45">
      <c r="A196" t="s">
        <v>10</v>
      </c>
      <c r="B196" t="s">
        <v>11</v>
      </c>
      <c r="C196" t="s">
        <v>423</v>
      </c>
      <c r="D196" t="s">
        <v>438</v>
      </c>
      <c r="E196" t="str">
        <f>"3 cm"</f>
        <v>3 cm</v>
      </c>
      <c r="F196" t="str">
        <f>"5 cm"</f>
        <v>5 cm</v>
      </c>
      <c r="G196" t="str">
        <f>"8 cm"</f>
        <v>8 cm</v>
      </c>
      <c r="H196" t="str">
        <f>"9 cm"</f>
        <v>9 cm</v>
      </c>
      <c r="I196" t="str">
        <f>"3 cm"</f>
        <v>3 cm</v>
      </c>
      <c r="J196" t="s">
        <v>439</v>
      </c>
    </row>
    <row r="197" spans="1:10" x14ac:dyDescent="0.45">
      <c r="A197" t="s">
        <v>10</v>
      </c>
      <c r="B197" t="s">
        <v>11</v>
      </c>
      <c r="C197" t="s">
        <v>423</v>
      </c>
      <c r="D197" t="s">
        <v>440</v>
      </c>
      <c r="E197" t="str">
        <f>"90°"</f>
        <v>90°</v>
      </c>
      <c r="F197" t="str">
        <f>"50°"</f>
        <v>50°</v>
      </c>
      <c r="G197" t="str">
        <f>"40°"</f>
        <v>40°</v>
      </c>
      <c r="H197" t="str">
        <f>"60°"</f>
        <v>60°</v>
      </c>
      <c r="I197" t="str">
        <f>"50°"</f>
        <v>50°</v>
      </c>
      <c r="J197" t="s">
        <v>441</v>
      </c>
    </row>
    <row r="198" spans="1:10" x14ac:dyDescent="0.45">
      <c r="A198" t="s">
        <v>10</v>
      </c>
      <c r="B198" t="s">
        <v>11</v>
      </c>
      <c r="C198" t="s">
        <v>423</v>
      </c>
      <c r="D198" t="s">
        <v>442</v>
      </c>
      <c r="E198" t="str">
        <f>"4 cm"</f>
        <v>4 cm</v>
      </c>
      <c r="F198" t="str">
        <f>"5 cm"</f>
        <v>5 cm</v>
      </c>
      <c r="G198" t="str">
        <f>"6 cm"</f>
        <v>6 cm</v>
      </c>
      <c r="H198" t="str">
        <f>"8 cm"</f>
        <v>8 cm</v>
      </c>
      <c r="I198" t="str">
        <f>"8 cm"</f>
        <v>8 cm</v>
      </c>
      <c r="J198" t="s">
        <v>443</v>
      </c>
    </row>
    <row r="199" spans="1:10" x14ac:dyDescent="0.45">
      <c r="A199" t="s">
        <v>10</v>
      </c>
      <c r="B199" t="s">
        <v>11</v>
      </c>
      <c r="C199" t="s">
        <v>423</v>
      </c>
      <c r="D199" t="s">
        <v>444</v>
      </c>
      <c r="E199" t="str">
        <f>"5√3 cm"</f>
        <v>5√3 cm</v>
      </c>
      <c r="F199" t="str">
        <f>"5 cm"</f>
        <v>5 cm</v>
      </c>
      <c r="G199" t="str">
        <f>"10 cm"</f>
        <v>10 cm</v>
      </c>
      <c r="H199" t="str">
        <f>"10√3 cm"</f>
        <v>10√3 cm</v>
      </c>
      <c r="I199" t="str">
        <f>"5√3 cm"</f>
        <v>5√3 cm</v>
      </c>
      <c r="J199" t="s">
        <v>445</v>
      </c>
    </row>
    <row r="200" spans="1:10" x14ac:dyDescent="0.45">
      <c r="A200" t="s">
        <v>10</v>
      </c>
      <c r="B200" t="s">
        <v>11</v>
      </c>
      <c r="C200" t="s">
        <v>423</v>
      </c>
      <c r="D200" t="s">
        <v>446</v>
      </c>
      <c r="E200" t="str">
        <f>"Secant"</f>
        <v>Secant</v>
      </c>
      <c r="F200" t="str">
        <f>"Tangent"</f>
        <v>Tangent</v>
      </c>
      <c r="G200" t="str">
        <f>"Chord"</f>
        <v>Chord</v>
      </c>
      <c r="H200" t="str">
        <f>"Diameter"</f>
        <v>Diameter</v>
      </c>
      <c r="I200" t="str">
        <f>"Tangent"</f>
        <v>Tangent</v>
      </c>
      <c r="J200" t="s">
        <v>447</v>
      </c>
    </row>
    <row r="201" spans="1:10" x14ac:dyDescent="0.45">
      <c r="A201" t="s">
        <v>10</v>
      </c>
      <c r="B201" t="s">
        <v>11</v>
      </c>
      <c r="C201" t="s">
        <v>423</v>
      </c>
      <c r="D201" t="s">
        <v>448</v>
      </c>
      <c r="E201" t="str">
        <f>"5 cm"</f>
        <v>5 cm</v>
      </c>
      <c r="F201" t="str">
        <f>"3 cm"</f>
        <v>3 cm</v>
      </c>
      <c r="G201" t="str">
        <f>"7 cm"</f>
        <v>7 cm</v>
      </c>
      <c r="H201" t="str">
        <f>"6 cm"</f>
        <v>6 cm</v>
      </c>
      <c r="I201" t="str">
        <f>"7 cm"</f>
        <v>7 cm</v>
      </c>
      <c r="J201" t="s">
        <v>449</v>
      </c>
    </row>
    <row r="202" spans="1:10" x14ac:dyDescent="0.45">
      <c r="A202" t="s">
        <v>10</v>
      </c>
      <c r="B202" t="s">
        <v>11</v>
      </c>
      <c r="C202" t="s">
        <v>423</v>
      </c>
      <c r="D202" t="s">
        <v>450</v>
      </c>
      <c r="E202" t="str">
        <f>"Unequal"</f>
        <v>Unequal</v>
      </c>
      <c r="F202" t="str">
        <f>"Double the radius"</f>
        <v>Double the radius</v>
      </c>
      <c r="G202" t="str">
        <f>"Half the radius"</f>
        <v>Half the radius</v>
      </c>
      <c r="H202" t="str">
        <f>"Equal to each other"</f>
        <v>Equal to each other</v>
      </c>
      <c r="I202" t="str">
        <f>"Equal to each other"</f>
        <v>Equal to each other</v>
      </c>
      <c r="J202" t="s">
        <v>451</v>
      </c>
    </row>
    <row r="203" spans="1:10" x14ac:dyDescent="0.45">
      <c r="A203" t="s">
        <v>10</v>
      </c>
      <c r="B203" t="s">
        <v>11</v>
      </c>
      <c r="C203" t="s">
        <v>423</v>
      </c>
      <c r="D203" t="s">
        <v>452</v>
      </c>
      <c r="E203" t="str">
        <f>"Rhombus"</f>
        <v>Rhombus</v>
      </c>
      <c r="F203" t="str">
        <f>"Rectangle"</f>
        <v>Rectangle</v>
      </c>
      <c r="G203" t="str">
        <f>"Square"</f>
        <v>Square</v>
      </c>
      <c r="H203" t="str">
        <f>"Trapezium"</f>
        <v>Trapezium</v>
      </c>
      <c r="I203" t="str">
        <f>"Rhombus"</f>
        <v>Rhombus</v>
      </c>
      <c r="J203" t="s">
        <v>453</v>
      </c>
    </row>
    <row r="204" spans="1:10" x14ac:dyDescent="0.45">
      <c r="A204" t="s">
        <v>10</v>
      </c>
      <c r="B204" t="s">
        <v>11</v>
      </c>
      <c r="C204" t="s">
        <v>423</v>
      </c>
      <c r="D204" t="s">
        <v>454</v>
      </c>
      <c r="E204" t="str">
        <f>"3 cm"</f>
        <v>3 cm</v>
      </c>
      <c r="F204" t="str">
        <f>"3√3 cm"</f>
        <v>3√3 cm</v>
      </c>
      <c r="G204" t="str">
        <f>"6 cm"</f>
        <v>6 cm</v>
      </c>
      <c r="H204" t="str">
        <f>"3/√3 cm"</f>
        <v>3/√3 cm</v>
      </c>
      <c r="I204" t="str">
        <f>"3√3 cm"</f>
        <v>3√3 cm</v>
      </c>
      <c r="J204" t="s">
        <v>455</v>
      </c>
    </row>
    <row r="205" spans="1:10" x14ac:dyDescent="0.45">
      <c r="A205" t="s">
        <v>10</v>
      </c>
      <c r="B205" t="s">
        <v>11</v>
      </c>
      <c r="C205" t="s">
        <v>423</v>
      </c>
      <c r="D205" t="s">
        <v>456</v>
      </c>
      <c r="E205" t="str">
        <f>"One"</f>
        <v>One</v>
      </c>
      <c r="F205" t="str">
        <f>"Two"</f>
        <v>Two</v>
      </c>
      <c r="G205" t="str">
        <f>"Do not exist"</f>
        <v>Do not exist</v>
      </c>
      <c r="H205" t="str">
        <f>"Infinitely many"</f>
        <v>Infinitely many</v>
      </c>
      <c r="I205" t="str">
        <f>"Do not exist"</f>
        <v>Do not exist</v>
      </c>
      <c r="J205" t="s">
        <v>457</v>
      </c>
    </row>
    <row r="206" spans="1:10" x14ac:dyDescent="0.45">
      <c r="A206" t="s">
        <v>10</v>
      </c>
      <c r="B206" t="s">
        <v>11</v>
      </c>
      <c r="C206" t="s">
        <v>423</v>
      </c>
      <c r="D206" t="s">
        <v>458</v>
      </c>
      <c r="E206" t="str">
        <f>"1 cm"</f>
        <v>1 cm</v>
      </c>
      <c r="F206" t="str">
        <f>"3 cm"</f>
        <v>3 cm</v>
      </c>
      <c r="G206" t="str">
        <f>"2 cm"</f>
        <v>2 cm</v>
      </c>
      <c r="H206" t="str">
        <f>"4 cm"</f>
        <v>4 cm</v>
      </c>
      <c r="I206" t="str">
        <f>"2 cm"</f>
        <v>2 cm</v>
      </c>
      <c r="J206" t="s">
        <v>459</v>
      </c>
    </row>
    <row r="207" spans="1:10" x14ac:dyDescent="0.45">
      <c r="A207" t="s">
        <v>10</v>
      </c>
      <c r="B207" t="s">
        <v>11</v>
      </c>
      <c r="C207" t="s">
        <v>423</v>
      </c>
      <c r="D207" t="s">
        <v>460</v>
      </c>
      <c r="E207" t="str">
        <f>"∠OPQ"</f>
        <v>∠OPQ</v>
      </c>
      <c r="F207" t="str">
        <f>"1/2 ∠OPQ"</f>
        <v>1/2 ∠OPQ</v>
      </c>
      <c r="G207" t="str">
        <f>"90° - ∠OPQ"</f>
        <v>90° - ∠OPQ</v>
      </c>
      <c r="H207" t="str">
        <f>"2 ∠OPQ"</f>
        <v>2 ∠OPQ</v>
      </c>
      <c r="I207" t="str">
        <f>"2 ∠OPQ"</f>
        <v>2 ∠OPQ</v>
      </c>
      <c r="J207" t="s">
        <v>461</v>
      </c>
    </row>
    <row r="208" spans="1:10" x14ac:dyDescent="0.45">
      <c r="A208" t="s">
        <v>10</v>
      </c>
      <c r="B208" t="s">
        <v>11</v>
      </c>
      <c r="C208" t="s">
        <v>423</v>
      </c>
      <c r="D208" t="s">
        <v>462</v>
      </c>
      <c r="E208" t="str">
        <f>"120°"</f>
        <v>120°</v>
      </c>
      <c r="F208" t="str">
        <f>"60°"</f>
        <v>60°</v>
      </c>
      <c r="G208" t="str">
        <f>"90°"</f>
        <v>90°</v>
      </c>
      <c r="H208" t="str">
        <f>"150°"</f>
        <v>150°</v>
      </c>
      <c r="I208" t="str">
        <f>"120°"</f>
        <v>120°</v>
      </c>
      <c r="J208" t="s">
        <v>463</v>
      </c>
    </row>
    <row r="209" spans="1:10" x14ac:dyDescent="0.45">
      <c r="A209" t="s">
        <v>10</v>
      </c>
      <c r="B209" t="s">
        <v>11</v>
      </c>
      <c r="C209" t="s">
        <v>423</v>
      </c>
      <c r="D209" t="s">
        <v>464</v>
      </c>
      <c r="E209" t="str">
        <f>"14 cm"</f>
        <v>14 cm</v>
      </c>
      <c r="F209" t="str">
        <f>"10 cm"</f>
        <v>10 cm</v>
      </c>
      <c r="G209" t="str">
        <f>"12 cm"</f>
        <v>12 cm</v>
      </c>
      <c r="H209" t="str">
        <f>"2√7 cm"</f>
        <v>2√7 cm</v>
      </c>
      <c r="I209" t="str">
        <f>"10 cm"</f>
        <v>10 cm</v>
      </c>
      <c r="J209" t="s">
        <v>465</v>
      </c>
    </row>
    <row r="210" spans="1:10" x14ac:dyDescent="0.45">
      <c r="A210" t="s">
        <v>10</v>
      </c>
      <c r="B210" t="s">
        <v>11</v>
      </c>
      <c r="C210" t="s">
        <v>466</v>
      </c>
      <c r="D210" t="s">
        <v>467</v>
      </c>
      <c r="E210" t="str">
        <f>"π units"</f>
        <v>π units</v>
      </c>
      <c r="F210" t="str">
        <f>"2 units"</f>
        <v>2 units</v>
      </c>
      <c r="G210" t="str">
        <f>"4 units"</f>
        <v>4 units</v>
      </c>
      <c r="H210" t="str">
        <f>"7 units"</f>
        <v>7 units</v>
      </c>
      <c r="I210" t="str">
        <f>"2 units"</f>
        <v>2 units</v>
      </c>
      <c r="J210" t="s">
        <v>468</v>
      </c>
    </row>
    <row r="211" spans="1:10" x14ac:dyDescent="0.45">
      <c r="A211" t="s">
        <v>10</v>
      </c>
      <c r="B211" t="s">
        <v>11</v>
      </c>
      <c r="C211" t="s">
        <v>466</v>
      </c>
      <c r="D211" t="s">
        <v>469</v>
      </c>
      <c r="E211" t="str">
        <f>"(θ / 180°) × πr²"</f>
        <v>(θ / 180°) × πr²</v>
      </c>
      <c r="F211" t="str">
        <f>"(θ / 360°) × 2πr"</f>
        <v>(θ / 360°) × 2πr</v>
      </c>
      <c r="G211" t="str">
        <f>"(θ / 360°) × πr²"</f>
        <v>(θ / 360°) × πr²</v>
      </c>
      <c r="H211" t="str">
        <f>"(θ / 180°) × 2πr"</f>
        <v>(θ / 180°) × 2πr</v>
      </c>
      <c r="I211" t="str">
        <f>"(θ / 360°) × πr²"</f>
        <v>(θ / 360°) × πr²</v>
      </c>
      <c r="J211" t="s">
        <v>470</v>
      </c>
    </row>
    <row r="212" spans="1:10" x14ac:dyDescent="0.45">
      <c r="A212" t="s">
        <v>10</v>
      </c>
      <c r="B212" t="s">
        <v>11</v>
      </c>
      <c r="C212" t="s">
        <v>466</v>
      </c>
      <c r="D212" t="s">
        <v>471</v>
      </c>
      <c r="E212" t="str">
        <f>"(θ / 180°) × πr²"</f>
        <v>(θ / 180°) × πr²</v>
      </c>
      <c r="F212" t="str">
        <f>"(θ / 360°) × πr²"</f>
        <v>(θ / 360°) × πr²</v>
      </c>
      <c r="G212" t="str">
        <f>"(θ / 180°) × 2πr"</f>
        <v>(θ / 180°) × 2πr</v>
      </c>
      <c r="H212" t="str">
        <f>"(θ / 360°) × 2πr"</f>
        <v>(θ / 360°) × 2πr</v>
      </c>
      <c r="I212" t="str">
        <f>"(θ / 360°) × 2πr"</f>
        <v>(θ / 360°) × 2πr</v>
      </c>
      <c r="J212" t="s">
        <v>472</v>
      </c>
    </row>
    <row r="213" spans="1:10" x14ac:dyDescent="0.45">
      <c r="A213" t="s">
        <v>10</v>
      </c>
      <c r="B213" t="s">
        <v>11</v>
      </c>
      <c r="C213" t="s">
        <v>466</v>
      </c>
      <c r="D213" t="s">
        <v>473</v>
      </c>
      <c r="E213" t="str">
        <f>"154 cm²"</f>
        <v>154 cm²</v>
      </c>
      <c r="F213" t="str">
        <f>"44 cm²"</f>
        <v>44 cm²</v>
      </c>
      <c r="G213" t="str">
        <f>"308 cm²"</f>
        <v>308 cm²</v>
      </c>
      <c r="H213" t="str">
        <f>"144 cm²"</f>
        <v>144 cm²</v>
      </c>
      <c r="I213" t="str">
        <f>"154 cm²"</f>
        <v>154 cm²</v>
      </c>
      <c r="J213" t="s">
        <v>474</v>
      </c>
    </row>
    <row r="214" spans="1:10" x14ac:dyDescent="0.45">
      <c r="A214" t="s">
        <v>10</v>
      </c>
      <c r="B214" t="s">
        <v>11</v>
      </c>
      <c r="C214" t="s">
        <v>466</v>
      </c>
      <c r="D214" t="s">
        <v>475</v>
      </c>
      <c r="E214" t="str">
        <f>"11 cm"</f>
        <v>11 cm</v>
      </c>
      <c r="F214" t="str">
        <f>"25 cm"</f>
        <v>25 cm</v>
      </c>
      <c r="G214" t="str">
        <f>"22 cm"</f>
        <v>22 cm</v>
      </c>
      <c r="H214" t="str">
        <f>"18 cm"</f>
        <v>18 cm</v>
      </c>
      <c r="I214" t="str">
        <f>"25 cm"</f>
        <v>25 cm</v>
      </c>
      <c r="J214" t="s">
        <v>476</v>
      </c>
    </row>
    <row r="215" spans="1:10" x14ac:dyDescent="0.45">
      <c r="A215" t="s">
        <v>10</v>
      </c>
      <c r="B215" t="s">
        <v>11</v>
      </c>
      <c r="C215" t="s">
        <v>466</v>
      </c>
      <c r="D215" t="s">
        <v>477</v>
      </c>
      <c r="E215" t="str">
        <f>"2 times"</f>
        <v>2 times</v>
      </c>
      <c r="F215" t="str">
        <f>"3 times"</f>
        <v>3 times</v>
      </c>
      <c r="G215" t="str">
        <f>"4 times"</f>
        <v>4 times</v>
      </c>
      <c r="H215" t="str">
        <f>"8 times"</f>
        <v>8 times</v>
      </c>
      <c r="I215" t="str">
        <f>"4 times"</f>
        <v>4 times</v>
      </c>
      <c r="J215" t="s">
        <v>478</v>
      </c>
    </row>
    <row r="216" spans="1:10" x14ac:dyDescent="0.45">
      <c r="A216" t="s">
        <v>10</v>
      </c>
      <c r="B216" t="s">
        <v>11</v>
      </c>
      <c r="C216" t="s">
        <v>466</v>
      </c>
      <c r="D216" t="s">
        <v>479</v>
      </c>
      <c r="E216" t="str">
        <f>"154 cm²"</f>
        <v>154 cm²</v>
      </c>
      <c r="F216" t="str">
        <f>"102.67 cm²"</f>
        <v>102.67 cm²</v>
      </c>
      <c r="G216" t="str">
        <f>"25.67 cm²"</f>
        <v>25.67 cm²</v>
      </c>
      <c r="H216" t="str">
        <f>"51.33 cm²"</f>
        <v>51.33 cm²</v>
      </c>
      <c r="I216" t="str">
        <f>"51.33 cm²"</f>
        <v>51.33 cm²</v>
      </c>
      <c r="J216" t="s">
        <v>480</v>
      </c>
    </row>
    <row r="217" spans="1:10" x14ac:dyDescent="0.45">
      <c r="A217" t="s">
        <v>10</v>
      </c>
      <c r="B217" t="s">
        <v>11</v>
      </c>
      <c r="C217" t="s">
        <v>466</v>
      </c>
      <c r="D217" t="s">
        <v>481</v>
      </c>
      <c r="E217" t="str">
        <f>"154 cm²"</f>
        <v>154 cm²</v>
      </c>
      <c r="F217" t="str">
        <f>"88 cm²"</f>
        <v>88 cm²</v>
      </c>
      <c r="G217" t="str">
        <f>"176 cm²"</f>
        <v>176 cm²</v>
      </c>
      <c r="H217" t="str">
        <f>"44 cm²"</f>
        <v>44 cm²</v>
      </c>
      <c r="I217" t="str">
        <f>"154 cm²"</f>
        <v>154 cm²</v>
      </c>
      <c r="J217" t="s">
        <v>482</v>
      </c>
    </row>
    <row r="218" spans="1:10" x14ac:dyDescent="0.45">
      <c r="A218" t="s">
        <v>10</v>
      </c>
      <c r="B218" t="s">
        <v>11</v>
      </c>
      <c r="C218" t="s">
        <v>466</v>
      </c>
      <c r="D218" t="s">
        <v>483</v>
      </c>
      <c r="E218" t="str">
        <f>"2 r²"</f>
        <v>2 r²</v>
      </c>
      <c r="F218" t="str">
        <f>"r²"</f>
        <v>r²</v>
      </c>
      <c r="G218" t="str">
        <f>"r² / 2"</f>
        <v>r² / 2</v>
      </c>
      <c r="H218" t="str">
        <f>"π r²"</f>
        <v>π r²</v>
      </c>
      <c r="I218" t="str">
        <f>"r²"</f>
        <v>r²</v>
      </c>
      <c r="J218" t="s">
        <v>484</v>
      </c>
    </row>
    <row r="219" spans="1:10" x14ac:dyDescent="0.45">
      <c r="A219" t="s">
        <v>10</v>
      </c>
      <c r="B219" t="s">
        <v>11</v>
      </c>
      <c r="C219" t="s">
        <v>466</v>
      </c>
      <c r="D219" t="s">
        <v>485</v>
      </c>
      <c r="E219" t="str">
        <f>"1 : 4"</f>
        <v>1 : 4</v>
      </c>
      <c r="F219" t="str">
        <f>"1 : 2"</f>
        <v>1 : 2</v>
      </c>
      <c r="G219" t="str">
        <f>"1 : √2"</f>
        <v>1 : √2</v>
      </c>
      <c r="H219" t="str">
        <f>"2 : 3"</f>
        <v>2 : 3</v>
      </c>
      <c r="I219" t="str">
        <f>"1 : 2"</f>
        <v>1 : 2</v>
      </c>
      <c r="J219" t="s">
        <v>486</v>
      </c>
    </row>
    <row r="220" spans="1:10" x14ac:dyDescent="0.45">
      <c r="A220" t="s">
        <v>10</v>
      </c>
      <c r="B220" t="s">
        <v>11</v>
      </c>
      <c r="C220" t="s">
        <v>466</v>
      </c>
      <c r="D220" t="s">
        <v>487</v>
      </c>
      <c r="E220" t="str">
        <f>"19.625 m²"</f>
        <v>19.625 m²</v>
      </c>
      <c r="F220" t="str">
        <f>"78.5 m²"</f>
        <v>78.5 m²</v>
      </c>
      <c r="G220" t="str">
        <f>"25 m²"</f>
        <v>25 m²</v>
      </c>
      <c r="H220" t="str">
        <f>"15 m²"</f>
        <v>15 m²</v>
      </c>
      <c r="I220" t="str">
        <f>"19.625 m²"</f>
        <v>19.625 m²</v>
      </c>
      <c r="J220" t="s">
        <v>488</v>
      </c>
    </row>
    <row r="221" spans="1:10" x14ac:dyDescent="0.45">
      <c r="A221" t="s">
        <v>10</v>
      </c>
      <c r="B221" t="s">
        <v>11</v>
      </c>
      <c r="C221" t="s">
        <v>466</v>
      </c>
      <c r="D221" t="s">
        <v>489</v>
      </c>
      <c r="E221" t="str">
        <f>"154 cm"</f>
        <v>154 cm</v>
      </c>
      <c r="F221" t="str">
        <f>"44 cm"</f>
        <v>44 cm</v>
      </c>
      <c r="G221" t="str">
        <f>"22 cm"</f>
        <v>22 cm</v>
      </c>
      <c r="H221" t="str">
        <f>"88 cm"</f>
        <v>88 cm</v>
      </c>
      <c r="I221" t="str">
        <f>"44 cm"</f>
        <v>44 cm</v>
      </c>
      <c r="J221" t="s">
        <v>490</v>
      </c>
    </row>
    <row r="222" spans="1:10" x14ac:dyDescent="0.45">
      <c r="A222" t="s">
        <v>10</v>
      </c>
      <c r="B222" t="s">
        <v>11</v>
      </c>
      <c r="C222" t="s">
        <v>466</v>
      </c>
      <c r="D222" t="s">
        <v>491</v>
      </c>
      <c r="E222" t="str">
        <f>"4000"</f>
        <v>4000</v>
      </c>
      <c r="F222" t="str">
        <f>"4500"</f>
        <v>4500</v>
      </c>
      <c r="G222" t="str">
        <f>"4375"</f>
        <v>4375</v>
      </c>
      <c r="H222" t="str">
        <f>"5000"</f>
        <v>5000</v>
      </c>
      <c r="I222" t="str">
        <f>"4375"</f>
        <v>4375</v>
      </c>
      <c r="J222" t="s">
        <v>492</v>
      </c>
    </row>
    <row r="223" spans="1:10" x14ac:dyDescent="0.45">
      <c r="A223" t="s">
        <v>10</v>
      </c>
      <c r="B223" t="s">
        <v>11</v>
      </c>
      <c r="C223" t="s">
        <v>466</v>
      </c>
      <c r="D223" t="s">
        <v>493</v>
      </c>
      <c r="E223" t="str">
        <f>"44 cm"</f>
        <v>44 cm</v>
      </c>
      <c r="F223" t="str">
        <f>"65 cm"</f>
        <v>65 cm</v>
      </c>
      <c r="G223" t="str">
        <f>"72 cm"</f>
        <v>72 cm</v>
      </c>
      <c r="H223" t="str">
        <f>"86 cm"</f>
        <v>86 cm</v>
      </c>
      <c r="I223" t="str">
        <f>"86 cm"</f>
        <v>86 cm</v>
      </c>
      <c r="J223" t="s">
        <v>494</v>
      </c>
    </row>
    <row r="224" spans="1:10" x14ac:dyDescent="0.45">
      <c r="A224" t="s">
        <v>10</v>
      </c>
      <c r="B224" t="s">
        <v>11</v>
      </c>
      <c r="C224" t="s">
        <v>466</v>
      </c>
      <c r="D224" t="s">
        <v>495</v>
      </c>
      <c r="E224" t="str">
        <f>"3.5 cm"</f>
        <v>3.5 cm</v>
      </c>
      <c r="F224" t="str">
        <f>"7 cm"</f>
        <v>7 cm</v>
      </c>
      <c r="G224" t="str">
        <f>"14 cm"</f>
        <v>14 cm</v>
      </c>
      <c r="H224" t="str">
        <f>"10.5 cm"</f>
        <v>10.5 cm</v>
      </c>
      <c r="I224" t="str">
        <f>"7 cm"</f>
        <v>7 cm</v>
      </c>
      <c r="J224" t="s">
        <v>496</v>
      </c>
    </row>
    <row r="225" spans="1:10" x14ac:dyDescent="0.45">
      <c r="A225" t="s">
        <v>10</v>
      </c>
      <c r="B225" t="s">
        <v>11</v>
      </c>
      <c r="C225" t="s">
        <v>466</v>
      </c>
      <c r="D225" t="s">
        <v>497</v>
      </c>
      <c r="E225" t="str">
        <f>"616 cm²"</f>
        <v>616 cm²</v>
      </c>
      <c r="F225" t="str">
        <f>"484 cm²"</f>
        <v>484 cm²</v>
      </c>
      <c r="G225" t="str">
        <f>"550 cm²"</f>
        <v>550 cm²</v>
      </c>
      <c r="H225" t="str">
        <f>"308 cm²"</f>
        <v>308 cm²</v>
      </c>
      <c r="I225" t="str">
        <f>"616 cm²"</f>
        <v>616 cm²</v>
      </c>
      <c r="J225" t="s">
        <v>498</v>
      </c>
    </row>
    <row r="226" spans="1:10" x14ac:dyDescent="0.45">
      <c r="A226" t="s">
        <v>10</v>
      </c>
      <c r="B226" t="s">
        <v>11</v>
      </c>
      <c r="C226" t="s">
        <v>466</v>
      </c>
      <c r="D226" t="s">
        <v>499</v>
      </c>
      <c r="E226" t="str">
        <f>"36π cm²"</f>
        <v>36π cm²</v>
      </c>
      <c r="F226" t="str">
        <f>"12π cm²"</f>
        <v>12π cm²</v>
      </c>
      <c r="G226" t="str">
        <f>"9π cm²"</f>
        <v>9π cm²</v>
      </c>
      <c r="H226" t="str">
        <f>"16π cm²"</f>
        <v>16π cm²</v>
      </c>
      <c r="I226" t="str">
        <f>"12π cm²"</f>
        <v>12π cm²</v>
      </c>
      <c r="J226" t="s">
        <v>500</v>
      </c>
    </row>
    <row r="227" spans="1:10" x14ac:dyDescent="0.45">
      <c r="A227" t="s">
        <v>10</v>
      </c>
      <c r="B227" t="s">
        <v>11</v>
      </c>
      <c r="C227" t="s">
        <v>466</v>
      </c>
      <c r="D227" t="s">
        <v>501</v>
      </c>
      <c r="E227" t="str">
        <f>"154 cm²"</f>
        <v>154 cm²</v>
      </c>
      <c r="F227" t="str">
        <f>"98 cm²"</f>
        <v>98 cm²</v>
      </c>
      <c r="G227" t="str">
        <f>"56 cm²"</f>
        <v>56 cm²</v>
      </c>
      <c r="H227" t="str">
        <f>"112 cm²"</f>
        <v>112 cm²</v>
      </c>
      <c r="I227" t="str">
        <f>"56 cm²"</f>
        <v>56 cm²</v>
      </c>
      <c r="J227" t="s">
        <v>502</v>
      </c>
    </row>
    <row r="228" spans="1:10" x14ac:dyDescent="0.45">
      <c r="A228" t="s">
        <v>10</v>
      </c>
      <c r="B228" t="s">
        <v>11</v>
      </c>
      <c r="C228" t="s">
        <v>466</v>
      </c>
      <c r="D228" t="s">
        <v>503</v>
      </c>
      <c r="E228" t="str">
        <f>"57.75 cm²"</f>
        <v>57.75 cm²</v>
      </c>
      <c r="F228" t="str">
        <f>"346.5 cm²"</f>
        <v>346.5 cm²</v>
      </c>
      <c r="G228" t="str">
        <f>"231 cm²"</f>
        <v>231 cm²</v>
      </c>
      <c r="H228" t="str">
        <f>"288.75 cm²"</f>
        <v>288.75 cm²</v>
      </c>
      <c r="I228" t="str">
        <f>"288.75 cm²"</f>
        <v>288.75 cm²</v>
      </c>
      <c r="J228" t="s">
        <v>504</v>
      </c>
    </row>
    <row r="229" spans="1:10" x14ac:dyDescent="0.45">
      <c r="A229" t="s">
        <v>10</v>
      </c>
      <c r="B229" t="s">
        <v>11</v>
      </c>
      <c r="C229" t="s">
        <v>466</v>
      </c>
      <c r="D229" t="s">
        <v>505</v>
      </c>
      <c r="E229" t="str">
        <f>"1.967 cm²"</f>
        <v>1.967 cm²</v>
      </c>
      <c r="F229" t="str">
        <f>"3.85 cm²"</f>
        <v>3.85 cm²</v>
      </c>
      <c r="G229" t="str">
        <f>"5.25 cm²"</f>
        <v>5.25 cm²</v>
      </c>
      <c r="H229" t="str">
        <f>"2.45 cm²"</f>
        <v>2.45 cm²</v>
      </c>
      <c r="I229" t="str">
        <f>"1.967 cm²"</f>
        <v>1.967 cm²</v>
      </c>
      <c r="J229" t="s">
        <v>506</v>
      </c>
    </row>
    <row r="230" spans="1:10" x14ac:dyDescent="0.45">
      <c r="A230" t="s">
        <v>10</v>
      </c>
      <c r="B230" t="s">
        <v>11</v>
      </c>
      <c r="C230" t="s">
        <v>466</v>
      </c>
      <c r="D230" t="s">
        <v>507</v>
      </c>
      <c r="E230" t="str">
        <f>"1232 cm²"</f>
        <v>1232 cm²</v>
      </c>
      <c r="F230" t="str">
        <f>"768 cm²"</f>
        <v>768 cm²</v>
      </c>
      <c r="G230" t="str">
        <f>"464.82 cm²"</f>
        <v>464.82 cm²</v>
      </c>
      <c r="H230" t="str">
        <f>"350.5 cm²"</f>
        <v>350.5 cm²</v>
      </c>
      <c r="I230" t="str">
        <f>"464.82 cm²"</f>
        <v>464.82 cm²</v>
      </c>
      <c r="J230" t="s">
        <v>508</v>
      </c>
    </row>
    <row r="231" spans="1:10" x14ac:dyDescent="0.45">
      <c r="A231" t="s">
        <v>10</v>
      </c>
      <c r="B231" t="s">
        <v>11</v>
      </c>
      <c r="C231" t="s">
        <v>509</v>
      </c>
      <c r="D231" t="s">
        <v>510</v>
      </c>
      <c r="E231" t="str">
        <f>"128 cm²"</f>
        <v>128 cm²</v>
      </c>
      <c r="F231" t="str">
        <f>"160 cm²"</f>
        <v>160 cm²</v>
      </c>
      <c r="G231" t="str">
        <f>"192 cm²"</f>
        <v>192 cm²</v>
      </c>
      <c r="H231" t="str">
        <f>"256 cm²"</f>
        <v>256 cm²</v>
      </c>
      <c r="I231" t="str">
        <f>"160 cm²"</f>
        <v>160 cm²</v>
      </c>
      <c r="J231" t="s">
        <v>511</v>
      </c>
    </row>
    <row r="232" spans="1:10" x14ac:dyDescent="0.45">
      <c r="A232" t="s">
        <v>10</v>
      </c>
      <c r="B232" t="s">
        <v>11</v>
      </c>
      <c r="C232" t="s">
        <v>509</v>
      </c>
      <c r="D232" t="s">
        <v>512</v>
      </c>
      <c r="E232" t="str">
        <f>"2 cm"</f>
        <v>2 cm</v>
      </c>
      <c r="F232" t="str">
        <f>"4 cm"</f>
        <v>4 cm</v>
      </c>
      <c r="G232" t="str">
        <f>"3 cm"</f>
        <v>3 cm</v>
      </c>
      <c r="H232" t="str">
        <f>"6 cm"</f>
        <v>6 cm</v>
      </c>
      <c r="I232" t="str">
        <f>"3 cm"</f>
        <v>3 cm</v>
      </c>
      <c r="J232" t="s">
        <v>513</v>
      </c>
    </row>
    <row r="233" spans="1:10" x14ac:dyDescent="0.45">
      <c r="A233" t="s">
        <v>10</v>
      </c>
      <c r="B233" t="s">
        <v>11</v>
      </c>
      <c r="C233" t="s">
        <v>509</v>
      </c>
      <c r="D233" t="s">
        <v>514</v>
      </c>
      <c r="E233" t="str">
        <f>"3.5 cm"</f>
        <v>3.5 cm</v>
      </c>
      <c r="F233" t="str">
        <f>"1.8 cm"</f>
        <v>1.8 cm</v>
      </c>
      <c r="G233" t="str">
        <f>"2.1 cm"</f>
        <v>2.1 cm</v>
      </c>
      <c r="H233" t="str">
        <f>"2.74 cm"</f>
        <v>2.74 cm</v>
      </c>
      <c r="I233" t="str">
        <f>"2.74 cm"</f>
        <v>2.74 cm</v>
      </c>
      <c r="J233" t="s">
        <v>515</v>
      </c>
    </row>
    <row r="234" spans="1:10" x14ac:dyDescent="0.45">
      <c r="A234" t="s">
        <v>10</v>
      </c>
      <c r="B234" t="s">
        <v>11</v>
      </c>
      <c r="C234" t="s">
        <v>509</v>
      </c>
      <c r="D234" t="s">
        <v>516</v>
      </c>
      <c r="E234" t="str">
        <f>"1 : 4"</f>
        <v>1 : 4</v>
      </c>
      <c r="F234" t="str">
        <f>"1 : 2"</f>
        <v>1 : 2</v>
      </c>
      <c r="G234" t="str">
        <f>"1 : 8"</f>
        <v>1 : 8</v>
      </c>
      <c r="H234" t="str">
        <f>"2 : 1"</f>
        <v>2 : 1</v>
      </c>
      <c r="I234" t="str">
        <f>"1 : 4"</f>
        <v>1 : 4</v>
      </c>
      <c r="J234" t="s">
        <v>517</v>
      </c>
    </row>
    <row r="235" spans="1:10" x14ac:dyDescent="0.45">
      <c r="A235" t="s">
        <v>10</v>
      </c>
      <c r="B235" t="s">
        <v>11</v>
      </c>
      <c r="C235" t="s">
        <v>509</v>
      </c>
      <c r="D235" t="s">
        <v>518</v>
      </c>
      <c r="E235" t="str">
        <f>"308 cm²"</f>
        <v>308 cm²</v>
      </c>
      <c r="F235" t="str">
        <f>"462 cm²"</f>
        <v>462 cm²</v>
      </c>
      <c r="G235" t="str">
        <f>"154 cm²"</f>
        <v>154 cm²</v>
      </c>
      <c r="H235" t="str">
        <f>"616 cm²"</f>
        <v>616 cm²</v>
      </c>
      <c r="I235" t="str">
        <f>"462 cm²"</f>
        <v>462 cm²</v>
      </c>
      <c r="J235" t="s">
        <v>519</v>
      </c>
    </row>
    <row r="236" spans="1:10" x14ac:dyDescent="0.45">
      <c r="A236" t="s">
        <v>10</v>
      </c>
      <c r="B236" t="s">
        <v>11</v>
      </c>
      <c r="C236" t="s">
        <v>509</v>
      </c>
      <c r="D236" t="s">
        <v>520</v>
      </c>
      <c r="E236" t="str">
        <f>"50.24 cm³"</f>
        <v>50.24 cm³</v>
      </c>
      <c r="F236" t="str">
        <f>"12.56 cm³"</f>
        <v>12.56 cm³</v>
      </c>
      <c r="G236" t="str">
        <f>"25.12 cm³"</f>
        <v>25.12 cm³</v>
      </c>
      <c r="H236" t="str">
        <f>"37.68 cm³"</f>
        <v>37.68 cm³</v>
      </c>
      <c r="I236" t="str">
        <f>"25.12 cm³"</f>
        <v>25.12 cm³</v>
      </c>
      <c r="J236" t="s">
        <v>521</v>
      </c>
    </row>
    <row r="237" spans="1:10" x14ac:dyDescent="0.45">
      <c r="A237" t="s">
        <v>10</v>
      </c>
      <c r="B237" t="s">
        <v>11</v>
      </c>
      <c r="C237" t="s">
        <v>509</v>
      </c>
      <c r="D237" t="s">
        <v>522</v>
      </c>
      <c r="E237" t="str">
        <f>"3 π r²"</f>
        <v>3 π r²</v>
      </c>
      <c r="F237" t="str">
        <f>"6 π r²"</f>
        <v>6 π r²</v>
      </c>
      <c r="G237" t="str">
        <f>"8 π r²"</f>
        <v>8 π r²</v>
      </c>
      <c r="H237" t="str">
        <f>"4 π r²"</f>
        <v>4 π r²</v>
      </c>
      <c r="I237" t="str">
        <f>"4 π r²"</f>
        <v>4 π r²</v>
      </c>
      <c r="J237" t="s">
        <v>523</v>
      </c>
    </row>
    <row r="238" spans="1:10" x14ac:dyDescent="0.45">
      <c r="A238" t="s">
        <v>10</v>
      </c>
      <c r="B238" t="s">
        <v>11</v>
      </c>
      <c r="C238" t="s">
        <v>509</v>
      </c>
      <c r="D238" t="s">
        <v>524</v>
      </c>
      <c r="E238" t="str">
        <f>"A frustum of a cone and a cylinder"</f>
        <v>A frustum of a cone and a cylinder</v>
      </c>
      <c r="F238" t="str">
        <f>"A cone and a cylinder"</f>
        <v>A cone and a cylinder</v>
      </c>
      <c r="G238" t="str">
        <f>"Two cylinders"</f>
        <v>Two cylinders</v>
      </c>
      <c r="H238" t="str">
        <f>"A hemisphere and a cylinder"</f>
        <v>A hemisphere and a cylinder</v>
      </c>
      <c r="I238" t="str">
        <f>"A frustum of a cone and a cylinder"</f>
        <v>A frustum of a cone and a cylinder</v>
      </c>
      <c r="J238" t="s">
        <v>525</v>
      </c>
    </row>
    <row r="239" spans="1:10" x14ac:dyDescent="0.45">
      <c r="A239" t="s">
        <v>10</v>
      </c>
      <c r="B239" t="s">
        <v>11</v>
      </c>
      <c r="C239" t="s">
        <v>509</v>
      </c>
      <c r="D239" t="s">
        <v>526</v>
      </c>
      <c r="E239" t="str">
        <f>"30%"</f>
        <v>30%</v>
      </c>
      <c r="F239" t="str">
        <f>"33.1%"</f>
        <v>33.1%</v>
      </c>
      <c r="G239" t="str">
        <f>"21%"</f>
        <v>21%</v>
      </c>
      <c r="H239" t="str">
        <f>"10%"</f>
        <v>10%</v>
      </c>
      <c r="I239" t="str">
        <f>"33.1%"</f>
        <v>33.1%</v>
      </c>
      <c r="J239" t="s">
        <v>527</v>
      </c>
    </row>
    <row r="240" spans="1:10" x14ac:dyDescent="0.45">
      <c r="A240" t="s">
        <v>10</v>
      </c>
      <c r="B240" t="s">
        <v>11</v>
      </c>
      <c r="C240" t="s">
        <v>509</v>
      </c>
      <c r="D240" t="s">
        <v>528</v>
      </c>
      <c r="E240" t="str">
        <f>"18 cm"</f>
        <v>18 cm</v>
      </c>
      <c r="F240" t="str">
        <f>"24 cm"</f>
        <v>24 cm</v>
      </c>
      <c r="G240" t="str">
        <f>"48 cm"</f>
        <v>48 cm</v>
      </c>
      <c r="H240" t="str">
        <f>"36 cm"</f>
        <v>36 cm</v>
      </c>
      <c r="I240" t="str">
        <f>"36 cm"</f>
        <v>36 cm</v>
      </c>
      <c r="J240" t="s">
        <v>529</v>
      </c>
    </row>
    <row r="241" spans="1:10" x14ac:dyDescent="0.45">
      <c r="A241" t="s">
        <v>10</v>
      </c>
      <c r="B241" t="s">
        <v>11</v>
      </c>
      <c r="C241" t="s">
        <v>509</v>
      </c>
      <c r="D241" t="s">
        <v>530</v>
      </c>
      <c r="E241" t="str">
        <f>"36 m"</f>
        <v>36 m</v>
      </c>
      <c r="F241" t="str">
        <f>"18 m"</f>
        <v>18 m</v>
      </c>
      <c r="G241" t="str">
        <f>"72 m"</f>
        <v>72 m</v>
      </c>
      <c r="H241" t="str">
        <f>"36 cm"</f>
        <v>36 cm</v>
      </c>
      <c r="I241" t="str">
        <f>"36 m"</f>
        <v>36 m</v>
      </c>
      <c r="J241" t="s">
        <v>531</v>
      </c>
    </row>
    <row r="242" spans="1:10" x14ac:dyDescent="0.45">
      <c r="A242" t="s">
        <v>10</v>
      </c>
      <c r="B242" t="s">
        <v>11</v>
      </c>
      <c r="C242" t="s">
        <v>509</v>
      </c>
      <c r="D242" t="s">
        <v>532</v>
      </c>
      <c r="E242" t="str">
        <f>"2 mm"</f>
        <v>2 mm</v>
      </c>
      <c r="F242" t="str">
        <f>"1 mm"</f>
        <v>1 mm</v>
      </c>
      <c r="G242" t="str">
        <f>"0.5 mm"</f>
        <v>0.5 mm</v>
      </c>
      <c r="H242" t="str">
        <f>"1.5 mm"</f>
        <v>1.5 mm</v>
      </c>
      <c r="I242" t="str">
        <f>"1 mm"</f>
        <v>1 mm</v>
      </c>
      <c r="J242" t="s">
        <v>533</v>
      </c>
    </row>
    <row r="243" spans="1:10" x14ac:dyDescent="0.45">
      <c r="A243" t="s">
        <v>10</v>
      </c>
      <c r="B243" t="s">
        <v>11</v>
      </c>
      <c r="C243" t="s">
        <v>509</v>
      </c>
      <c r="D243" t="s">
        <v>534</v>
      </c>
      <c r="E243" t="str">
        <f>"250"</f>
        <v>250</v>
      </c>
      <c r="F243" t="str">
        <f>"1000"</f>
        <v>1000</v>
      </c>
      <c r="G243" t="str">
        <f>"2500"</f>
        <v>2500</v>
      </c>
      <c r="H243" t="str">
        <f>"5000"</f>
        <v>5000</v>
      </c>
      <c r="I243" t="str">
        <f>"2500"</f>
        <v>2500</v>
      </c>
      <c r="J243" t="s">
        <v>535</v>
      </c>
    </row>
    <row r="244" spans="1:10" x14ac:dyDescent="0.45">
      <c r="A244" t="s">
        <v>10</v>
      </c>
      <c r="B244" t="s">
        <v>11</v>
      </c>
      <c r="C244" t="s">
        <v>509</v>
      </c>
      <c r="D244" t="s">
        <v>536</v>
      </c>
      <c r="E244" t="str">
        <f>"2π (R² + r²)"</f>
        <v>2π (R² + r²)</v>
      </c>
      <c r="F244" t="str">
        <f>"3π (R² + r²)"</f>
        <v>3π (R² + r²)</v>
      </c>
      <c r="G244" t="str">
        <f>"π (3R² + r²)"</f>
        <v>π (3R² + r²)</v>
      </c>
      <c r="H244" t="str">
        <f>"π (R² + r²)"</f>
        <v>π (R² + r²)</v>
      </c>
      <c r="I244" t="str">
        <f>"π (3R² + r²)"</f>
        <v>π (3R² + r²)</v>
      </c>
      <c r="J244" t="s">
        <v>537</v>
      </c>
    </row>
    <row r="245" spans="1:10" x14ac:dyDescent="0.45">
      <c r="A245" t="s">
        <v>10</v>
      </c>
      <c r="B245" t="s">
        <v>11</v>
      </c>
      <c r="C245" t="s">
        <v>509</v>
      </c>
      <c r="D245" t="s">
        <v>538</v>
      </c>
      <c r="E245" t="str">
        <f>"110 mm²"</f>
        <v>110 mm²</v>
      </c>
      <c r="F245" t="str">
        <f>"440 mm²"</f>
        <v>440 mm²</v>
      </c>
      <c r="G245" t="str">
        <f>"330 mm²"</f>
        <v>330 mm²</v>
      </c>
      <c r="H245" t="str">
        <f>"220 mm²"</f>
        <v>220 mm²</v>
      </c>
      <c r="I245" t="str">
        <f>"220 mm²"</f>
        <v>220 mm²</v>
      </c>
      <c r="J245" t="s">
        <v>539</v>
      </c>
    </row>
    <row r="246" spans="1:10" x14ac:dyDescent="0.45">
      <c r="A246" t="s">
        <v>10</v>
      </c>
      <c r="B246" t="s">
        <v>11</v>
      </c>
      <c r="C246" t="s">
        <v>509</v>
      </c>
      <c r="D246" t="s">
        <v>540</v>
      </c>
      <c r="E246" t="str">
        <f>"374 cm²"</f>
        <v>374 cm²</v>
      </c>
      <c r="F246" t="str">
        <f>"220 cm²"</f>
        <v>220 cm²</v>
      </c>
      <c r="G246" t="str">
        <f>"308 cm²"</f>
        <v>308 cm²</v>
      </c>
      <c r="H246" t="str">
        <f>"462 cm²"</f>
        <v>462 cm²</v>
      </c>
      <c r="I246" t="str">
        <f>"374 cm²"</f>
        <v>374 cm²</v>
      </c>
      <c r="J246" t="s">
        <v>541</v>
      </c>
    </row>
    <row r="247" spans="1:10" x14ac:dyDescent="0.45">
      <c r="A247" t="s">
        <v>10</v>
      </c>
      <c r="B247" t="s">
        <v>11</v>
      </c>
      <c r="C247" t="s">
        <v>509</v>
      </c>
      <c r="D247" t="s">
        <v>542</v>
      </c>
      <c r="E247" t="str">
        <f>"16.35 cm³"</f>
        <v>16.35 cm³</v>
      </c>
      <c r="F247" t="str">
        <f>"32.71 cm³"</f>
        <v>32.71 cm³</v>
      </c>
      <c r="G247" t="str">
        <f>"65.42 cm³"</f>
        <v>65.42 cm³</v>
      </c>
      <c r="H247" t="str">
        <f>"25.12 cm³"</f>
        <v>25.12 cm³</v>
      </c>
      <c r="I247" t="str">
        <f>"32.71 cm³"</f>
        <v>32.71 cm³</v>
      </c>
      <c r="J247" t="s">
        <v>543</v>
      </c>
    </row>
    <row r="248" spans="1:10" x14ac:dyDescent="0.45">
      <c r="A248" t="s">
        <v>10</v>
      </c>
      <c r="B248" t="s">
        <v>11</v>
      </c>
      <c r="C248" t="s">
        <v>509</v>
      </c>
      <c r="D248" t="s">
        <v>544</v>
      </c>
      <c r="E248" t="str">
        <f>"750.5 kg"</f>
        <v>750.5 kg</v>
      </c>
      <c r="F248" t="str">
        <f>"920.4 kg"</f>
        <v>920.4 kg</v>
      </c>
      <c r="G248" t="str">
        <f>"892.26 kg"</f>
        <v>892.26 kg</v>
      </c>
      <c r="H248" t="str">
        <f>"850.2 kg"</f>
        <v>850.2 kg</v>
      </c>
      <c r="I248" t="str">
        <f>"892.26 kg"</f>
        <v>892.26 kg</v>
      </c>
      <c r="J248" t="s">
        <v>545</v>
      </c>
    </row>
    <row r="249" spans="1:10" x14ac:dyDescent="0.45">
      <c r="A249" t="s">
        <v>10</v>
      </c>
      <c r="B249" t="s">
        <v>11</v>
      </c>
      <c r="C249" t="s">
        <v>509</v>
      </c>
      <c r="D249" t="s">
        <v>546</v>
      </c>
      <c r="E249" t="str">
        <f>"2 : 1"</f>
        <v>2 : 1</v>
      </c>
      <c r="F249" t="str">
        <f>"4 : 3"</f>
        <v>4 : 3</v>
      </c>
      <c r="G249" t="str">
        <f>"1 : 1"</f>
        <v>1 : 1</v>
      </c>
      <c r="H249" t="str">
        <f>"3 : 2"</f>
        <v>3 : 2</v>
      </c>
      <c r="I249" t="str">
        <f>"3 : 2"</f>
        <v>3 : 2</v>
      </c>
      <c r="J249" t="s">
        <v>547</v>
      </c>
    </row>
    <row r="250" spans="1:10" x14ac:dyDescent="0.45">
      <c r="A250" t="s">
        <v>10</v>
      </c>
      <c r="B250" t="s">
        <v>11</v>
      </c>
      <c r="C250" t="s">
        <v>509</v>
      </c>
      <c r="D250" t="s">
        <v>548</v>
      </c>
      <c r="E250" t="str">
        <f>"33 minutes"</f>
        <v>33 minutes</v>
      </c>
      <c r="F250" t="str">
        <f>"10 minutes"</f>
        <v>10 minutes</v>
      </c>
      <c r="G250" t="str">
        <f>"16.5 minutes"</f>
        <v>16.5 minutes</v>
      </c>
      <c r="H250" t="str">
        <f>"25 minutes"</f>
        <v>25 minutes</v>
      </c>
      <c r="I250" t="str">
        <f>"16.5 minutes"</f>
        <v>16.5 minutes</v>
      </c>
      <c r="J250" t="s">
        <v>549</v>
      </c>
    </row>
    <row r="251" spans="1:10" x14ac:dyDescent="0.45">
      <c r="A251" t="s">
        <v>10</v>
      </c>
      <c r="B251" t="s">
        <v>11</v>
      </c>
      <c r="C251" t="s">
        <v>509</v>
      </c>
      <c r="D251" t="s">
        <v>550</v>
      </c>
      <c r="E251" t="str">
        <f>"450000 m²"</f>
        <v>450000 m²</v>
      </c>
      <c r="F251" t="str">
        <f>"600000 m²"</f>
        <v>600000 m²</v>
      </c>
      <c r="G251" t="str">
        <f>"300000 m²"</f>
        <v>300000 m²</v>
      </c>
      <c r="H251" t="str">
        <f>"562500 m²"</f>
        <v>562500 m²</v>
      </c>
      <c r="I251" t="str">
        <f>"562500 m²"</f>
        <v>562500 m²</v>
      </c>
      <c r="J251" t="s">
        <v>551</v>
      </c>
    </row>
    <row r="252" spans="1:10" x14ac:dyDescent="0.45">
      <c r="A252" t="s">
        <v>10</v>
      </c>
      <c r="B252" t="s">
        <v>11</v>
      </c>
      <c r="C252" t="s">
        <v>552</v>
      </c>
      <c r="D252" t="s">
        <v>553</v>
      </c>
      <c r="E252" t="str">
        <f>"2 Median = Mode + 3 Mean"</f>
        <v>2 Median = Mode + 3 Mean</v>
      </c>
      <c r="F252" t="str">
        <f>"3 Median = Mode + 2 Mean"</f>
        <v>3 Median = Mode + 2 Mean</v>
      </c>
      <c r="G252" t="str">
        <f>"Median = Mode + Mean"</f>
        <v>Median = Mode + Mean</v>
      </c>
      <c r="H252" t="str">
        <f>"3 Mode = Median + 2 Mean"</f>
        <v>3 Mode = Median + 2 Mean</v>
      </c>
      <c r="I252" t="str">
        <f>"3 Median = Mode + 2 Mean"</f>
        <v>3 Median = Mode + 2 Mean</v>
      </c>
      <c r="J252" t="s">
        <v>554</v>
      </c>
    </row>
    <row r="253" spans="1:10" x14ac:dyDescent="0.45">
      <c r="A253" t="s">
        <v>10</v>
      </c>
      <c r="B253" t="s">
        <v>11</v>
      </c>
      <c r="C253" t="s">
        <v>552</v>
      </c>
      <c r="D253" t="s">
        <v>555</v>
      </c>
      <c r="E253" t="str">
        <f>"Evenly distributed over all the classes"</f>
        <v>Evenly distributed over all the classes</v>
      </c>
      <c r="F253" t="str">
        <f>"Centered at the upper limits of the classes"</f>
        <v>Centered at the upper limits of the classes</v>
      </c>
      <c r="G253" t="str">
        <f>"Centered at the class marks of the classes"</f>
        <v>Centered at the class marks of the classes</v>
      </c>
      <c r="H253" t="str">
        <f>"Centered at the lower limits of the classes"</f>
        <v>Centered at the lower limits of the classes</v>
      </c>
      <c r="I253" t="str">
        <f>"Centered at the class marks of the classes"</f>
        <v>Centered at the class marks of the classes</v>
      </c>
      <c r="J253" t="s">
        <v>556</v>
      </c>
    </row>
    <row r="254" spans="1:10" x14ac:dyDescent="0.45">
      <c r="A254" t="s">
        <v>10</v>
      </c>
      <c r="B254" t="s">
        <v>11</v>
      </c>
      <c r="C254" t="s">
        <v>552</v>
      </c>
      <c r="D254" t="s">
        <v>557</v>
      </c>
      <c r="E254" t="str">
        <f>"Mean"</f>
        <v>Mean</v>
      </c>
      <c r="F254" t="str">
        <f>"Mode"</f>
        <v>Mode</v>
      </c>
      <c r="G254" t="str">
        <f>"All of these"</f>
        <v>All of these</v>
      </c>
      <c r="H254" t="str">
        <f>"Median"</f>
        <v>Median</v>
      </c>
      <c r="I254" t="str">
        <f>"Median"</f>
        <v>Median</v>
      </c>
      <c r="J254" t="s">
        <v>558</v>
      </c>
    </row>
    <row r="255" spans="1:10" x14ac:dyDescent="0.45">
      <c r="A255" t="s">
        <v>10</v>
      </c>
      <c r="B255" t="s">
        <v>11</v>
      </c>
      <c r="C255" t="s">
        <v>552</v>
      </c>
      <c r="D255" t="s">
        <v>559</v>
      </c>
      <c r="E255" t="str">
        <f>"10-20"</f>
        <v>10-20</v>
      </c>
      <c r="F255" t="str">
        <f>"20-30"</f>
        <v>20-30</v>
      </c>
      <c r="G255" t="str">
        <f>"30-40"</f>
        <v>30-40</v>
      </c>
      <c r="H255" t="str">
        <f>"40-50"</f>
        <v>40-50</v>
      </c>
      <c r="I255" t="str">
        <f>"40-50"</f>
        <v>40-50</v>
      </c>
      <c r="J255" t="s">
        <v>560</v>
      </c>
    </row>
    <row r="256" spans="1:10" x14ac:dyDescent="0.45">
      <c r="A256" t="s">
        <v>10</v>
      </c>
      <c r="B256" t="s">
        <v>11</v>
      </c>
      <c r="C256" t="s">
        <v>552</v>
      </c>
      <c r="D256" t="s">
        <v>561</v>
      </c>
      <c r="E256" t="str">
        <f>"17.5"</f>
        <v>17.5</v>
      </c>
      <c r="F256" t="str">
        <f>"15"</f>
        <v>15</v>
      </c>
      <c r="G256" t="str">
        <f>"20"</f>
        <v>20</v>
      </c>
      <c r="H256" t="str">
        <f>"35"</f>
        <v>35</v>
      </c>
      <c r="I256" t="str">
        <f>"17.5"</f>
        <v>17.5</v>
      </c>
      <c r="J256" t="s">
        <v>562</v>
      </c>
    </row>
    <row r="257" spans="1:10" x14ac:dyDescent="0.45">
      <c r="A257" t="s">
        <v>10</v>
      </c>
      <c r="B257" t="s">
        <v>11</v>
      </c>
      <c r="C257" t="s">
        <v>552</v>
      </c>
      <c r="D257" t="s">
        <v>563</v>
      </c>
      <c r="E257" t="str">
        <f>"21"</f>
        <v>21</v>
      </c>
      <c r="F257" t="str">
        <f>"19"</f>
        <v>19</v>
      </c>
      <c r="G257" t="str">
        <f>"18"</f>
        <v>18</v>
      </c>
      <c r="H257" t="str">
        <f>"20"</f>
        <v>20</v>
      </c>
      <c r="I257" t="str">
        <f>"19"</f>
        <v>19</v>
      </c>
      <c r="J257" t="s">
        <v>564</v>
      </c>
    </row>
    <row r="258" spans="1:10" x14ac:dyDescent="0.45">
      <c r="A258" t="s">
        <v>10</v>
      </c>
      <c r="B258" t="s">
        <v>11</v>
      </c>
      <c r="C258" t="s">
        <v>552</v>
      </c>
      <c r="D258" t="s">
        <v>565</v>
      </c>
      <c r="E258" t="str">
        <f>"5"</f>
        <v>5</v>
      </c>
      <c r="F258" t="str">
        <f>"10"</f>
        <v>10</v>
      </c>
      <c r="G258" t="str">
        <f>"9"</f>
        <v>9</v>
      </c>
      <c r="H258" t="str">
        <f>"11"</f>
        <v>11</v>
      </c>
      <c r="I258" t="str">
        <f>"9"</f>
        <v>9</v>
      </c>
      <c r="J258" t="s">
        <v>566</v>
      </c>
    </row>
    <row r="259" spans="1:10" x14ac:dyDescent="0.45">
      <c r="A259" t="s">
        <v>10</v>
      </c>
      <c r="B259" t="s">
        <v>11</v>
      </c>
      <c r="C259" t="s">
        <v>552</v>
      </c>
      <c r="D259" t="s">
        <v>567</v>
      </c>
      <c r="E259" t="str">
        <f>"15"</f>
        <v>15</v>
      </c>
      <c r="F259" t="str">
        <f>"20"</f>
        <v>20</v>
      </c>
      <c r="G259" t="str">
        <f>"30"</f>
        <v>30</v>
      </c>
      <c r="H259" t="str">
        <f>"25"</f>
        <v>25</v>
      </c>
      <c r="I259" t="str">
        <f>"25"</f>
        <v>25</v>
      </c>
      <c r="J259" t="s">
        <v>568</v>
      </c>
    </row>
    <row r="260" spans="1:10" x14ac:dyDescent="0.45">
      <c r="A260" t="s">
        <v>10</v>
      </c>
      <c r="B260" t="s">
        <v>11</v>
      </c>
      <c r="C260" t="s">
        <v>552</v>
      </c>
      <c r="D260" t="s">
        <v>569</v>
      </c>
      <c r="E260" t="str">
        <f>"30"</f>
        <v>30</v>
      </c>
      <c r="F260" t="str">
        <f>"15"</f>
        <v>15</v>
      </c>
      <c r="G260" t="str">
        <f>"27"</f>
        <v>27</v>
      </c>
      <c r="H260" t="str">
        <f>"57"</f>
        <v>57</v>
      </c>
      <c r="I260" t="str">
        <f>"30"</f>
        <v>30</v>
      </c>
      <c r="J260" t="s">
        <v>570</v>
      </c>
    </row>
    <row r="261" spans="1:10" x14ac:dyDescent="0.45">
      <c r="A261" t="s">
        <v>10</v>
      </c>
      <c r="B261" t="s">
        <v>11</v>
      </c>
      <c r="C261" t="s">
        <v>552</v>
      </c>
      <c r="D261" t="s">
        <v>571</v>
      </c>
      <c r="E261" t="str">
        <f>"22"</f>
        <v>22</v>
      </c>
      <c r="F261" t="str">
        <f>"24"</f>
        <v>24</v>
      </c>
      <c r="G261" t="str">
        <f>"25"</f>
        <v>25</v>
      </c>
      <c r="H261" t="str">
        <f>"26"</f>
        <v>26</v>
      </c>
      <c r="I261" t="str">
        <f>"24"</f>
        <v>24</v>
      </c>
      <c r="J261" t="s">
        <v>572</v>
      </c>
    </row>
    <row r="262" spans="1:10" x14ac:dyDescent="0.45">
      <c r="A262" t="s">
        <v>10</v>
      </c>
      <c r="B262" t="s">
        <v>11</v>
      </c>
      <c r="C262" t="s">
        <v>552</v>
      </c>
      <c r="D262" t="s">
        <v>573</v>
      </c>
      <c r="E262" t="str">
        <f>"1"</f>
        <v>1</v>
      </c>
      <c r="F262" t="str">
        <f>"Σ fᵢ"</f>
        <v>Σ fᵢ</v>
      </c>
      <c r="G262" t="str">
        <f>"0"</f>
        <v>0</v>
      </c>
      <c r="H262" t="str">
        <f>"x̄"</f>
        <v>x̄</v>
      </c>
      <c r="I262" t="str">
        <f>"0"</f>
        <v>0</v>
      </c>
      <c r="J262" t="s">
        <v>574</v>
      </c>
    </row>
    <row r="263" spans="1:10" x14ac:dyDescent="0.45">
      <c r="A263" t="s">
        <v>10</v>
      </c>
      <c r="B263" t="s">
        <v>11</v>
      </c>
      <c r="C263" t="s">
        <v>552</v>
      </c>
      <c r="D263" t="s">
        <v>575</v>
      </c>
      <c r="E263" t="str">
        <f>"20"</f>
        <v>20</v>
      </c>
      <c r="F263" t="str">
        <f>"21"</f>
        <v>21</v>
      </c>
      <c r="G263" t="str">
        <f>"22"</f>
        <v>22</v>
      </c>
      <c r="H263" t="str">
        <f>"23"</f>
        <v>23</v>
      </c>
      <c r="I263" t="str">
        <f>"21"</f>
        <v>21</v>
      </c>
      <c r="J263" t="s">
        <v>576</v>
      </c>
    </row>
    <row r="264" spans="1:10" x14ac:dyDescent="0.45">
      <c r="A264" t="s">
        <v>10</v>
      </c>
      <c r="B264" t="s">
        <v>11</v>
      </c>
      <c r="C264" t="s">
        <v>552</v>
      </c>
      <c r="D264" t="s">
        <v>577</v>
      </c>
      <c r="E264" t="str">
        <f>"Lower limits of the classes"</f>
        <v>Lower limits of the classes</v>
      </c>
      <c r="F264" t="str">
        <f>"Upper limits of the classes"</f>
        <v>Upper limits of the classes</v>
      </c>
      <c r="G264" t="str">
        <f>"Frequencies of the classes"</f>
        <v>Frequencies of the classes</v>
      </c>
      <c r="H264" t="str">
        <f>"Midpoints of the classes"</f>
        <v>Midpoints of the classes</v>
      </c>
      <c r="I264" t="str">
        <f>"Midpoints of the classes"</f>
        <v>Midpoints of the classes</v>
      </c>
      <c r="J264" t="s">
        <v>578</v>
      </c>
    </row>
    <row r="265" spans="1:10" x14ac:dyDescent="0.45">
      <c r="A265" t="s">
        <v>10</v>
      </c>
      <c r="B265" t="s">
        <v>11</v>
      </c>
      <c r="C265" t="s">
        <v>552</v>
      </c>
      <c r="D265" t="s">
        <v>579</v>
      </c>
      <c r="E265" t="str">
        <f>"40.1"</f>
        <v>40.1</v>
      </c>
      <c r="F265" t="str">
        <f>"39.9"</f>
        <v>39.9</v>
      </c>
      <c r="G265" t="str">
        <f>"41"</f>
        <v>41</v>
      </c>
      <c r="H265" t="str">
        <f>"40.5"</f>
        <v>40.5</v>
      </c>
      <c r="I265" t="str">
        <f>"40.1"</f>
        <v>40.1</v>
      </c>
      <c r="J265" t="s">
        <v>580</v>
      </c>
    </row>
    <row r="266" spans="1:10" x14ac:dyDescent="0.45">
      <c r="A266" t="s">
        <v>10</v>
      </c>
      <c r="B266" t="s">
        <v>11</v>
      </c>
      <c r="C266" t="s">
        <v>552</v>
      </c>
      <c r="D266" t="s">
        <v>581</v>
      </c>
      <c r="E266" t="str">
        <f>"Histogram"</f>
        <v>Histogram</v>
      </c>
      <c r="F266" t="str">
        <f>"Ogive"</f>
        <v>Ogive</v>
      </c>
      <c r="G266" t="str">
        <f>"Frequency polygon"</f>
        <v>Frequency polygon</v>
      </c>
      <c r="H266" t="str">
        <f>"Bar graph"</f>
        <v>Bar graph</v>
      </c>
      <c r="I266" t="str">
        <f>"Histogram"</f>
        <v>Histogram</v>
      </c>
      <c r="J266" t="s">
        <v>582</v>
      </c>
    </row>
    <row r="267" spans="1:10" x14ac:dyDescent="0.45">
      <c r="A267" t="s">
        <v>10</v>
      </c>
      <c r="B267" t="s">
        <v>11</v>
      </c>
      <c r="C267" t="s">
        <v>552</v>
      </c>
      <c r="D267" t="s">
        <v>583</v>
      </c>
      <c r="E267" t="str">
        <f>"20"</f>
        <v>20</v>
      </c>
      <c r="F267" t="str">
        <f>"25"</f>
        <v>25</v>
      </c>
      <c r="G267" t="str">
        <f>"100"</f>
        <v>100</v>
      </c>
      <c r="H267" t="str">
        <f>"15"</f>
        <v>15</v>
      </c>
      <c r="I267" t="str">
        <f>"25"</f>
        <v>25</v>
      </c>
      <c r="J267" t="s">
        <v>584</v>
      </c>
    </row>
    <row r="268" spans="1:10" x14ac:dyDescent="0.45">
      <c r="A268" t="s">
        <v>10</v>
      </c>
      <c r="B268" t="s">
        <v>11</v>
      </c>
      <c r="C268" t="s">
        <v>552</v>
      </c>
      <c r="D268" t="s">
        <v>585</v>
      </c>
      <c r="E268" t="str">
        <f>"51"</f>
        <v>51</v>
      </c>
      <c r="F268" t="str">
        <f>"50"</f>
        <v>50</v>
      </c>
      <c r="G268" t="str">
        <f>"54"</f>
        <v>54</v>
      </c>
      <c r="H268" t="str">
        <f>"52"</f>
        <v>52</v>
      </c>
      <c r="I268" t="str">
        <f>"54"</f>
        <v>54</v>
      </c>
      <c r="J268" t="s">
        <v>586</v>
      </c>
    </row>
    <row r="269" spans="1:10" x14ac:dyDescent="0.45">
      <c r="A269" t="s">
        <v>10</v>
      </c>
      <c r="B269" t="s">
        <v>11</v>
      </c>
      <c r="C269" t="s">
        <v>552</v>
      </c>
      <c r="D269" t="s">
        <v>587</v>
      </c>
      <c r="E269" t="str">
        <f>"25"</f>
        <v>25</v>
      </c>
      <c r="F269" t="str">
        <f>"29"</f>
        <v>29</v>
      </c>
      <c r="G269" t="str">
        <f>"30"</f>
        <v>30</v>
      </c>
      <c r="H269" t="str">
        <f>"27"</f>
        <v>27</v>
      </c>
      <c r="I269" t="str">
        <f>"27"</f>
        <v>27</v>
      </c>
      <c r="J269" t="s">
        <v>588</v>
      </c>
    </row>
    <row r="270" spans="1:10" x14ac:dyDescent="0.45">
      <c r="A270" t="s">
        <v>10</v>
      </c>
      <c r="B270" t="s">
        <v>11</v>
      </c>
      <c r="C270" t="s">
        <v>552</v>
      </c>
      <c r="D270" t="s">
        <v>589</v>
      </c>
      <c r="E270" t="str">
        <f>"15 - 25"</f>
        <v>15 - 25</v>
      </c>
      <c r="F270" t="str">
        <f>"18 - 22"</f>
        <v>18 - 22</v>
      </c>
      <c r="G270" t="str">
        <f>"17 - 23"</f>
        <v>17 - 23</v>
      </c>
      <c r="H270" t="str">
        <f>"17.5 - 22.5"</f>
        <v>17.5 - 22.5</v>
      </c>
      <c r="I270" t="str">
        <f>"17.5 - 22.5"</f>
        <v>17.5 - 22.5</v>
      </c>
      <c r="J270" t="s">
        <v>590</v>
      </c>
    </row>
    <row r="271" spans="1:10" x14ac:dyDescent="0.45">
      <c r="A271" t="s">
        <v>10</v>
      </c>
      <c r="B271" t="s">
        <v>11</v>
      </c>
      <c r="C271" t="s">
        <v>552</v>
      </c>
      <c r="D271" t="s">
        <v>591</v>
      </c>
      <c r="E271" t="str">
        <f>"4"</f>
        <v>4</v>
      </c>
      <c r="F271" t="str">
        <f>"6"</f>
        <v>6</v>
      </c>
      <c r="G271" t="str">
        <f>"7"</f>
        <v>7</v>
      </c>
      <c r="H271" t="str">
        <f>"8"</f>
        <v>8</v>
      </c>
      <c r="I271" t="str">
        <f>"7"</f>
        <v>7</v>
      </c>
      <c r="J271" t="s">
        <v>592</v>
      </c>
    </row>
    <row r="272" spans="1:10" x14ac:dyDescent="0.45">
      <c r="A272" t="s">
        <v>10</v>
      </c>
      <c r="B272" t="s">
        <v>11</v>
      </c>
      <c r="C272" t="s">
        <v>552</v>
      </c>
      <c r="D272" t="s">
        <v>593</v>
      </c>
      <c r="E272" t="str">
        <f>"n / 2"</f>
        <v>n / 2</v>
      </c>
      <c r="F272" t="str">
        <f>"n(n + 1) / 2"</f>
        <v>n(n + 1) / 2</v>
      </c>
      <c r="G272" t="str">
        <f>"(n - 1) / 2"</f>
        <v>(n - 1) / 2</v>
      </c>
      <c r="H272" t="str">
        <f>"(n + 1) / 2"</f>
        <v>(n + 1) / 2</v>
      </c>
      <c r="I272" t="str">
        <f>"(n + 1) / 2"</f>
        <v>(n + 1) / 2</v>
      </c>
      <c r="J272" t="s">
        <v>594</v>
      </c>
    </row>
    <row r="273" spans="1:10" x14ac:dyDescent="0.45">
      <c r="A273" t="s">
        <v>10</v>
      </c>
      <c r="B273" t="s">
        <v>11</v>
      </c>
      <c r="C273" t="s">
        <v>595</v>
      </c>
      <c r="D273" t="s">
        <v>596</v>
      </c>
      <c r="E273" t="str">
        <f>"2/3"</f>
        <v>2/3</v>
      </c>
      <c r="F273" t="str">
        <f>"-1.5"</f>
        <v>-1.5</v>
      </c>
      <c r="G273" t="str">
        <f>"15%"</f>
        <v>15%</v>
      </c>
      <c r="H273" t="str">
        <f>"0.7"</f>
        <v>0.7</v>
      </c>
      <c r="I273" t="str">
        <f>"-1.5"</f>
        <v>-1.5</v>
      </c>
      <c r="J273" t="s">
        <v>597</v>
      </c>
    </row>
    <row r="274" spans="1:10" x14ac:dyDescent="0.45">
      <c r="A274" t="s">
        <v>10</v>
      </c>
      <c r="B274" t="s">
        <v>11</v>
      </c>
      <c r="C274" t="s">
        <v>595</v>
      </c>
      <c r="D274" t="s">
        <v>598</v>
      </c>
      <c r="E274" t="str">
        <f>"0.1"</f>
        <v>0.1</v>
      </c>
      <c r="F274" t="str">
        <f>"0.01"</f>
        <v>0.01</v>
      </c>
      <c r="G274" t="str">
        <f>"0.0001"</f>
        <v>0.0001</v>
      </c>
      <c r="H274" t="str">
        <f>"0.001"</f>
        <v>0.001</v>
      </c>
      <c r="I274" t="str">
        <f>"0.0001"</f>
        <v>0.0001</v>
      </c>
      <c r="J274" t="s">
        <v>599</v>
      </c>
    </row>
    <row r="275" spans="1:10" x14ac:dyDescent="0.45">
      <c r="A275" t="s">
        <v>10</v>
      </c>
      <c r="B275" t="s">
        <v>11</v>
      </c>
      <c r="C275" t="s">
        <v>595</v>
      </c>
      <c r="D275" t="s">
        <v>600</v>
      </c>
      <c r="E275" t="str">
        <f>"0.05"</f>
        <v>0.05</v>
      </c>
      <c r="F275" t="str">
        <f>"0.5"</f>
        <v>0.5</v>
      </c>
      <c r="G275" t="str">
        <f>"0.9"</f>
        <v>0.9</v>
      </c>
      <c r="H275" t="str">
        <f>"0.95"</f>
        <v>0.95</v>
      </c>
      <c r="I275" t="str">
        <f>"0.95"</f>
        <v>0.95</v>
      </c>
      <c r="J275" t="s">
        <v>601</v>
      </c>
    </row>
    <row r="276" spans="1:10" x14ac:dyDescent="0.45">
      <c r="A276" t="s">
        <v>10</v>
      </c>
      <c r="B276" t="s">
        <v>11</v>
      </c>
      <c r="C276" t="s">
        <v>595</v>
      </c>
      <c r="D276" t="s">
        <v>602</v>
      </c>
      <c r="E276" t="str">
        <f>"1/3"</f>
        <v>1/3</v>
      </c>
      <c r="F276" t="str">
        <f>"2/3"</f>
        <v>2/3</v>
      </c>
      <c r="G276" t="str">
        <f>"1/6"</f>
        <v>1/6</v>
      </c>
      <c r="H276" t="str">
        <f>"1/2"</f>
        <v>1/2</v>
      </c>
      <c r="I276" t="str">
        <f>"1/2"</f>
        <v>1/2</v>
      </c>
      <c r="J276" t="s">
        <v>603</v>
      </c>
    </row>
    <row r="277" spans="1:10" x14ac:dyDescent="0.45">
      <c r="A277" t="s">
        <v>10</v>
      </c>
      <c r="B277" t="s">
        <v>11</v>
      </c>
      <c r="C277" t="s">
        <v>595</v>
      </c>
      <c r="D277" t="s">
        <v>604</v>
      </c>
      <c r="E277" t="str">
        <f>"1/26"</f>
        <v>1/26</v>
      </c>
      <c r="F277" t="str">
        <f>"1/13"</f>
        <v>1/13</v>
      </c>
      <c r="G277" t="str">
        <f>"1/52"</f>
        <v>1/52</v>
      </c>
      <c r="H277" t="str">
        <f>"2/13"</f>
        <v>2/13</v>
      </c>
      <c r="I277" t="str">
        <f>"1/26"</f>
        <v>1/26</v>
      </c>
      <c r="J277" t="s">
        <v>605</v>
      </c>
    </row>
    <row r="278" spans="1:10" x14ac:dyDescent="0.45">
      <c r="A278" t="s">
        <v>10</v>
      </c>
      <c r="B278" t="s">
        <v>11</v>
      </c>
      <c r="C278" t="s">
        <v>595</v>
      </c>
      <c r="D278" t="s">
        <v>606</v>
      </c>
      <c r="E278" t="str">
        <f>"5/8"</f>
        <v>5/8</v>
      </c>
      <c r="F278" t="str">
        <f>"3/8"</f>
        <v>3/8</v>
      </c>
      <c r="G278" t="str">
        <f>"3/5"</f>
        <v>3/5</v>
      </c>
      <c r="H278" t="str">
        <f>"1/2"</f>
        <v>1/2</v>
      </c>
      <c r="I278" t="str">
        <f>"3/8"</f>
        <v>3/8</v>
      </c>
      <c r="J278" t="s">
        <v>607</v>
      </c>
    </row>
    <row r="279" spans="1:10" x14ac:dyDescent="0.45">
      <c r="A279" t="s">
        <v>10</v>
      </c>
      <c r="B279" t="s">
        <v>11</v>
      </c>
      <c r="C279" t="s">
        <v>595</v>
      </c>
      <c r="D279" t="s">
        <v>608</v>
      </c>
      <c r="E279" t="str">
        <f>"0.3"</f>
        <v>0.3</v>
      </c>
      <c r="F279" t="str">
        <f>"2/3"</f>
        <v>2/3</v>
      </c>
      <c r="G279" t="str">
        <f>"17/16"</f>
        <v>17/16</v>
      </c>
      <c r="H279" t="str">
        <f>"15%"</f>
        <v>15%</v>
      </c>
      <c r="I279" t="str">
        <f>"17/16"</f>
        <v>17/16</v>
      </c>
      <c r="J279" t="s">
        <v>609</v>
      </c>
    </row>
    <row r="280" spans="1:10" x14ac:dyDescent="0.45">
      <c r="A280" t="s">
        <v>10</v>
      </c>
      <c r="B280" t="s">
        <v>11</v>
      </c>
      <c r="C280" t="s">
        <v>595</v>
      </c>
      <c r="D280" t="s">
        <v>610</v>
      </c>
      <c r="E280" t="str">
        <f>"1"</f>
        <v>1</v>
      </c>
      <c r="F280" t="str">
        <f>"3/4"</f>
        <v>3/4</v>
      </c>
      <c r="G280" t="str">
        <f>"1/2"</f>
        <v>1/2</v>
      </c>
      <c r="H280" t="str">
        <f>"0"</f>
        <v>0</v>
      </c>
      <c r="I280" t="str">
        <f>"0"</f>
        <v>0</v>
      </c>
      <c r="J280" t="s">
        <v>611</v>
      </c>
    </row>
    <row r="281" spans="1:10" x14ac:dyDescent="0.45">
      <c r="A281" t="s">
        <v>10</v>
      </c>
      <c r="B281" t="s">
        <v>11</v>
      </c>
      <c r="C281" t="s">
        <v>595</v>
      </c>
      <c r="D281" t="s">
        <v>612</v>
      </c>
      <c r="E281" t="str">
        <f>"14"</f>
        <v>14</v>
      </c>
      <c r="F281" t="str">
        <f>"7"</f>
        <v>7</v>
      </c>
      <c r="G281" t="str">
        <f>"21"</f>
        <v>21</v>
      </c>
      <c r="H281" t="str">
        <f>"28"</f>
        <v>28</v>
      </c>
      <c r="I281" t="str">
        <f>"14"</f>
        <v>14</v>
      </c>
      <c r="J281" t="s">
        <v>613</v>
      </c>
    </row>
    <row r="282" spans="1:10" x14ac:dyDescent="0.45">
      <c r="A282" t="s">
        <v>10</v>
      </c>
      <c r="B282" t="s">
        <v>11</v>
      </c>
      <c r="C282" t="s">
        <v>595</v>
      </c>
      <c r="D282" t="s">
        <v>614</v>
      </c>
      <c r="E282" t="str">
        <f>"1/36"</f>
        <v>1/36</v>
      </c>
      <c r="F282" t="str">
        <f>"1/6"</f>
        <v>1/6</v>
      </c>
      <c r="G282" t="str">
        <f>"1/12"</f>
        <v>1/12</v>
      </c>
      <c r="H282" t="str">
        <f>"1/3"</f>
        <v>1/3</v>
      </c>
      <c r="I282" t="str">
        <f>"1/6"</f>
        <v>1/6</v>
      </c>
      <c r="J282" t="s">
        <v>615</v>
      </c>
    </row>
    <row r="283" spans="1:10" x14ac:dyDescent="0.45">
      <c r="A283" t="s">
        <v>10</v>
      </c>
      <c r="B283" t="s">
        <v>11</v>
      </c>
      <c r="C283" t="s">
        <v>595</v>
      </c>
      <c r="D283" t="s">
        <v>616</v>
      </c>
      <c r="E283" t="str">
        <f>"1/2"</f>
        <v>1/2</v>
      </c>
      <c r="F283" t="str">
        <f>"1/4"</f>
        <v>1/4</v>
      </c>
      <c r="G283" t="str">
        <f>"3/4"</f>
        <v>3/4</v>
      </c>
      <c r="H283" t="str">
        <f>"1"</f>
        <v>1</v>
      </c>
      <c r="I283" t="str">
        <f>"3/4"</f>
        <v>3/4</v>
      </c>
      <c r="J283" t="s">
        <v>617</v>
      </c>
    </row>
    <row r="284" spans="1:10" x14ac:dyDescent="0.45">
      <c r="A284" t="s">
        <v>10</v>
      </c>
      <c r="B284" t="s">
        <v>11</v>
      </c>
      <c r="C284" t="s">
        <v>595</v>
      </c>
      <c r="D284" t="s">
        <v>618</v>
      </c>
      <c r="E284" t="str">
        <f>"82/90"</f>
        <v>82/90</v>
      </c>
      <c r="F284" t="str">
        <f>"1/9"</f>
        <v>1/9</v>
      </c>
      <c r="G284" t="str">
        <f>"8/9"</f>
        <v>8/9</v>
      </c>
      <c r="H284" t="str">
        <f>"9/10"</f>
        <v>9/10</v>
      </c>
      <c r="I284" t="str">
        <f>"9/10"</f>
        <v>9/10</v>
      </c>
      <c r="J284" t="s">
        <v>619</v>
      </c>
    </row>
    <row r="285" spans="1:10" x14ac:dyDescent="0.45">
      <c r="A285" t="s">
        <v>10</v>
      </c>
      <c r="B285" t="s">
        <v>11</v>
      </c>
      <c r="C285" t="s">
        <v>595</v>
      </c>
      <c r="D285" t="s">
        <v>620</v>
      </c>
      <c r="E285" t="str">
        <f>"2/7"</f>
        <v>2/7</v>
      </c>
      <c r="F285" t="str">
        <f>"1/7"</f>
        <v>1/7</v>
      </c>
      <c r="G285" t="str">
        <f>"53/366"</f>
        <v>53/366</v>
      </c>
      <c r="H285" t="str">
        <f>"26/366"</f>
        <v>26/366</v>
      </c>
      <c r="I285" t="str">
        <f>"2/7"</f>
        <v>2/7</v>
      </c>
      <c r="J285" t="s">
        <v>621</v>
      </c>
    </row>
    <row r="286" spans="1:10" x14ac:dyDescent="0.45">
      <c r="A286" t="s">
        <v>10</v>
      </c>
      <c r="B286" t="s">
        <v>11</v>
      </c>
      <c r="C286" t="s">
        <v>595</v>
      </c>
      <c r="D286" t="s">
        <v>622</v>
      </c>
      <c r="E286" t="str">
        <f>"2/7"</f>
        <v>2/7</v>
      </c>
      <c r="F286" t="str">
        <f>"1/7"</f>
        <v>1/7</v>
      </c>
      <c r="G286" t="str">
        <f>"53/365"</f>
        <v>53/365</v>
      </c>
      <c r="H286" t="str">
        <f>"1/365"</f>
        <v>1/365</v>
      </c>
      <c r="I286" t="str">
        <f>"1/7"</f>
        <v>1/7</v>
      </c>
      <c r="J286" t="s">
        <v>623</v>
      </c>
    </row>
    <row r="287" spans="1:10" x14ac:dyDescent="0.45">
      <c r="A287" t="s">
        <v>10</v>
      </c>
      <c r="B287" t="s">
        <v>11</v>
      </c>
      <c r="C287" t="s">
        <v>595</v>
      </c>
      <c r="D287" t="s">
        <v>624</v>
      </c>
      <c r="E287" t="str">
        <f>"1/7"</f>
        <v>1/7</v>
      </c>
      <c r="F287" t="str">
        <f>"3/7"</f>
        <v>3/7</v>
      </c>
      <c r="G287" t="str">
        <f>"2/7"</f>
        <v>2/7</v>
      </c>
      <c r="H287" t="str">
        <f>"53/365"</f>
        <v>53/365</v>
      </c>
      <c r="I287" t="str">
        <f>"2/7"</f>
        <v>2/7</v>
      </c>
      <c r="J287" t="s">
        <v>625</v>
      </c>
    </row>
    <row r="288" spans="1:10" x14ac:dyDescent="0.45">
      <c r="A288" t="s">
        <v>10</v>
      </c>
      <c r="B288" t="s">
        <v>11</v>
      </c>
      <c r="C288" t="s">
        <v>595</v>
      </c>
      <c r="D288" t="s">
        <v>626</v>
      </c>
      <c r="E288" t="str">
        <f>"24/100"</f>
        <v>24/100</v>
      </c>
      <c r="F288" t="str">
        <f>"1/5"</f>
        <v>1/5</v>
      </c>
      <c r="G288" t="str">
        <f>"27/100"</f>
        <v>27/100</v>
      </c>
      <c r="H288" t="str">
        <f>"1/4"</f>
        <v>1/4</v>
      </c>
      <c r="I288" t="str">
        <f>"1/4"</f>
        <v>1/4</v>
      </c>
      <c r="J288" t="s">
        <v>627</v>
      </c>
    </row>
    <row r="289" spans="1:10" x14ac:dyDescent="0.45">
      <c r="A289" t="s">
        <v>10</v>
      </c>
      <c r="B289" t="s">
        <v>11</v>
      </c>
      <c r="C289" t="s">
        <v>595</v>
      </c>
      <c r="D289" t="s">
        <v>628</v>
      </c>
      <c r="E289" t="str">
        <f>"3/26"</f>
        <v>3/26</v>
      </c>
      <c r="F289" t="str">
        <f>"3/13"</f>
        <v>3/13</v>
      </c>
      <c r="G289" t="str">
        <f>"1/13"</f>
        <v>1/13</v>
      </c>
      <c r="H289" t="str">
        <f>"6/13"</f>
        <v>6/13</v>
      </c>
      <c r="I289" t="str">
        <f>"3/26"</f>
        <v>3/26</v>
      </c>
      <c r="J289" t="s">
        <v>629</v>
      </c>
    </row>
    <row r="290" spans="1:10" x14ac:dyDescent="0.45">
      <c r="A290" t="s">
        <v>10</v>
      </c>
      <c r="B290" t="s">
        <v>11</v>
      </c>
      <c r="C290" t="s">
        <v>595</v>
      </c>
      <c r="D290" t="s">
        <v>630</v>
      </c>
      <c r="E290" t="str">
        <f>"1/4"</f>
        <v>1/4</v>
      </c>
      <c r="F290" t="str">
        <f>"3/4"</f>
        <v>3/4</v>
      </c>
      <c r="G290" t="str">
        <f>"1/2"</f>
        <v>1/2</v>
      </c>
      <c r="H290" t="str">
        <f>"3/8"</f>
        <v>3/8</v>
      </c>
      <c r="I290" t="str">
        <f>"3/4"</f>
        <v>3/4</v>
      </c>
      <c r="J290" t="s">
        <v>631</v>
      </c>
    </row>
    <row r="291" spans="1:10" x14ac:dyDescent="0.45">
      <c r="A291" t="s">
        <v>10</v>
      </c>
      <c r="B291" t="s">
        <v>11</v>
      </c>
      <c r="C291" t="s">
        <v>595</v>
      </c>
      <c r="D291" t="s">
        <v>632</v>
      </c>
      <c r="E291" t="str">
        <f>"1/8"</f>
        <v>1/8</v>
      </c>
      <c r="F291" t="str">
        <f>"1/2"</f>
        <v>1/2</v>
      </c>
      <c r="G291" t="str">
        <f>"7/8"</f>
        <v>7/8</v>
      </c>
      <c r="H291" t="str">
        <f>"3/8"</f>
        <v>3/8</v>
      </c>
      <c r="I291" t="str">
        <f>"7/8"</f>
        <v>7/8</v>
      </c>
      <c r="J291" t="s">
        <v>633</v>
      </c>
    </row>
    <row r="292" spans="1:10" x14ac:dyDescent="0.45">
      <c r="A292" t="s">
        <v>10</v>
      </c>
      <c r="B292" t="s">
        <v>11</v>
      </c>
      <c r="C292" t="s">
        <v>595</v>
      </c>
      <c r="D292" t="s">
        <v>634</v>
      </c>
      <c r="E292" t="str">
        <f>"3/8"</f>
        <v>3/8</v>
      </c>
      <c r="F292" t="str">
        <f>"1/2"</f>
        <v>1/2</v>
      </c>
      <c r="G292" t="str">
        <f>"5/8"</f>
        <v>5/8</v>
      </c>
      <c r="H292" t="str">
        <f>"7/8"</f>
        <v>7/8</v>
      </c>
      <c r="I292" t="str">
        <f>"7/8"</f>
        <v>7/8</v>
      </c>
      <c r="J292" t="s">
        <v>635</v>
      </c>
    </row>
    <row r="293" spans="1:10" x14ac:dyDescent="0.45">
      <c r="A293" t="s">
        <v>10</v>
      </c>
      <c r="B293" t="s">
        <v>11</v>
      </c>
      <c r="C293" t="s">
        <v>595</v>
      </c>
      <c r="D293" t="s">
        <v>636</v>
      </c>
      <c r="E293" t="str">
        <f>"13/17"</f>
        <v>13/17</v>
      </c>
      <c r="F293" t="str">
        <f>"4/17"</f>
        <v>4/17</v>
      </c>
      <c r="G293" t="str">
        <f>"8/17"</f>
        <v>8/17</v>
      </c>
      <c r="H293" t="str">
        <f>"5/17"</f>
        <v>5/17</v>
      </c>
      <c r="I293" t="str">
        <f>"13/17"</f>
        <v>13/17</v>
      </c>
      <c r="J293" t="s">
        <v>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 for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dc:creator>
  <cp:lastModifiedBy>Piyush</cp:lastModifiedBy>
  <dcterms:created xsi:type="dcterms:W3CDTF">2026-08-10T08:52:22Z</dcterms:created>
  <dcterms:modified xsi:type="dcterms:W3CDTF">2026-08-11T04:01:19Z</dcterms:modified>
</cp:coreProperties>
</file>